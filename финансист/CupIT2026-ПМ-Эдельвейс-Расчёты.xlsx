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846B80-D909-425E-8A87-12C5A72D2C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V+ARPU" sheetId="1" r:id="rId1"/>
    <sheet name="Churn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2" l="1"/>
  <c r="D28" i="2" s="1"/>
  <c r="D30" i="2" s="1"/>
  <c r="D32" i="2" s="1"/>
  <c r="E25" i="2"/>
  <c r="D25" i="2"/>
  <c r="B25" i="2"/>
  <c r="C12" i="2"/>
  <c r="D12" i="2"/>
  <c r="E12" i="2"/>
  <c r="B12" i="2"/>
  <c r="B13" i="2" s="1"/>
  <c r="B15" i="2" s="1"/>
  <c r="B17" i="2" s="1"/>
  <c r="B19" i="2" s="1"/>
  <c r="J15" i="2" s="1"/>
  <c r="C25" i="2"/>
  <c r="E31" i="2"/>
  <c r="D31" i="2"/>
  <c r="C31" i="2"/>
  <c r="B31" i="2"/>
  <c r="E24" i="2"/>
  <c r="E26" i="2" s="1"/>
  <c r="E28" i="2" s="1"/>
  <c r="E30" i="2" s="1"/>
  <c r="E32" i="2" s="1"/>
  <c r="D24" i="2"/>
  <c r="C24" i="2"/>
  <c r="C26" i="2" s="1"/>
  <c r="C28" i="2" s="1"/>
  <c r="C30" i="2" s="1"/>
  <c r="C32" i="2" s="1"/>
  <c r="B24" i="2"/>
  <c r="B26" i="2" s="1"/>
  <c r="B28" i="2" s="1"/>
  <c r="B30" i="2" s="1"/>
  <c r="B32" i="2" s="1"/>
  <c r="C18" i="2"/>
  <c r="D18" i="2"/>
  <c r="E18" i="2"/>
  <c r="B18" i="2"/>
  <c r="C11" i="2"/>
  <c r="C13" i="2" s="1"/>
  <c r="C15" i="2" s="1"/>
  <c r="C17" i="2" s="1"/>
  <c r="D11" i="2"/>
  <c r="D13" i="2" s="1"/>
  <c r="D15" i="2" s="1"/>
  <c r="D17" i="2" s="1"/>
  <c r="D19" i="2" s="1"/>
  <c r="L15" i="2" s="1"/>
  <c r="E11" i="2"/>
  <c r="E13" i="2" s="1"/>
  <c r="E15" i="2" s="1"/>
  <c r="E17" i="2" s="1"/>
  <c r="E19" i="2" s="1"/>
  <c r="B11" i="2"/>
  <c r="B5" i="1"/>
  <c r="E5" i="1"/>
  <c r="B3" i="1" s="1"/>
  <c r="E3" i="1" s="1"/>
  <c r="C3" i="1" l="1"/>
  <c r="D3" i="1"/>
  <c r="I11" i="2"/>
  <c r="C19" i="2"/>
  <c r="I13" i="2" s="1"/>
  <c r="B2" i="1"/>
  <c r="F3" i="1"/>
  <c r="E2" i="1" l="1"/>
  <c r="D2" i="1"/>
  <c r="C2" i="1"/>
  <c r="F2" i="1" s="1"/>
  <c r="I2" i="1" s="1"/>
</calcChain>
</file>

<file path=xl/sharedStrings.xml><?xml version="1.0" encoding="utf-8"?>
<sst xmlns="http://schemas.openxmlformats.org/spreadsheetml/2006/main" count="72" uniqueCount="55">
  <si>
    <t>год 0</t>
  </si>
  <si>
    <t>год 1</t>
  </si>
  <si>
    <t>год 2</t>
  </si>
  <si>
    <t>год 3</t>
  </si>
  <si>
    <t>as-is</t>
  </si>
  <si>
    <t>to-be</t>
  </si>
  <si>
    <t>R(as-is)=</t>
  </si>
  <si>
    <t>R(to-be)=</t>
  </si>
  <si>
    <t>d=</t>
  </si>
  <si>
    <t>ARPU(to-be)=</t>
  </si>
  <si>
    <t>ARPU(as-is)=</t>
  </si>
  <si>
    <t>Прирост CLV=</t>
  </si>
  <si>
    <t>CLV</t>
  </si>
  <si>
    <t>Комиссионный доход=</t>
  </si>
  <si>
    <t>млрд</t>
  </si>
  <si>
    <t>млн</t>
  </si>
  <si>
    <t>Процентный доход=</t>
  </si>
  <si>
    <t>Активные клиенты</t>
  </si>
  <si>
    <t>Количество пользователей=</t>
  </si>
  <si>
    <t>% сегмента Ремонт=</t>
  </si>
  <si>
    <t>% сегмента Отпуск=</t>
  </si>
  <si>
    <t>% сегмента Авто=</t>
  </si>
  <si>
    <t>%</t>
  </si>
  <si>
    <t>п.</t>
  </si>
  <si>
    <t>руб.</t>
  </si>
  <si>
    <t>MAU</t>
  </si>
  <si>
    <t>% охвата сегмента</t>
  </si>
  <si>
    <t>Открыли блок</t>
  </si>
  <si>
    <t>CR в заявку</t>
  </si>
  <si>
    <t>Подали заявку</t>
  </si>
  <si>
    <t>Средний чек</t>
  </si>
  <si>
    <t>Объём заявок, руб.</t>
  </si>
  <si>
    <t>Средний чек кредитной заявки=</t>
  </si>
  <si>
    <t>Базовый</t>
  </si>
  <si>
    <t>Оптимистичный</t>
  </si>
  <si>
    <t>Пессимистичный</t>
  </si>
  <si>
    <t>AS-IS</t>
  </si>
  <si>
    <t>Рост заявок</t>
  </si>
  <si>
    <t>Прирост объёма заявок</t>
  </si>
  <si>
    <t>Диапазон</t>
  </si>
  <si>
    <t>Ремонт</t>
  </si>
  <si>
    <t>Увидели блок(PDR)</t>
  </si>
  <si>
    <t>CTR(%)</t>
  </si>
  <si>
    <t>от</t>
  </si>
  <si>
    <t>до</t>
  </si>
  <si>
    <t>Авто</t>
  </si>
  <si>
    <t>Рестораны</t>
  </si>
  <si>
    <t>% сегмента Рестораны=</t>
  </si>
  <si>
    <t>Отпуск</t>
  </si>
  <si>
    <t>Число активных пользователей взято из числа годового отчёта ОТП банка за 2024г</t>
  </si>
  <si>
    <t>Примерный процент, полученный с помощью расчёта заинтересванных в подобном блоке клиентов СберБанка</t>
  </si>
  <si>
    <t>Примерный процент, полученный с помощью расчёта заинтересванных в подобном блоке клиентов Т-Банка</t>
  </si>
  <si>
    <t>Примерный чек, полученный с помощью умножения среднего чека кредитной заявки ОТП Банка за 2022 на процент роста (12%) три раза</t>
  </si>
  <si>
    <t>шт.</t>
  </si>
  <si>
    <t>CR в заявку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</si>
</sst>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1" xfId="0" applyFill="1" applyBorder="1"/>
    <xf numFmtId="0" fontId="1" fillId="2" borderId="8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13" xfId="0" applyBorder="1"/>
    <xf numFmtId="0" fontId="0" fillId="4" borderId="14" xfId="0" applyFill="1" applyBorder="1"/>
    <xf numFmtId="0" fontId="0" fillId="4" borderId="14" xfId="0" applyNumberFormat="1" applyFill="1" applyBorder="1"/>
    <xf numFmtId="0" fontId="0" fillId="0" borderId="0" xfId="0" applyAlignment="1">
      <alignment horizontal="left"/>
    </xf>
    <xf numFmtId="0" fontId="0" fillId="0" borderId="15" xfId="0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0" fillId="5" borderId="19" xfId="0" applyFill="1" applyBorder="1"/>
    <xf numFmtId="0" fontId="0" fillId="5" borderId="21" xfId="0" applyFill="1" applyBorder="1"/>
    <xf numFmtId="0" fontId="0" fillId="5" borderId="11" xfId="0" applyFill="1" applyBorder="1"/>
    <xf numFmtId="0" fontId="0" fillId="5" borderId="12" xfId="0" applyFill="1" applyBorder="1"/>
    <xf numFmtId="0" fontId="0" fillId="3" borderId="15" xfId="0" applyFill="1" applyBorder="1"/>
    <xf numFmtId="0" fontId="0" fillId="3" borderId="2" xfId="0" applyFill="1" applyBorder="1"/>
    <xf numFmtId="0" fontId="0" fillId="0" borderId="15" xfId="0" applyNumberFormat="1" applyBorder="1"/>
    <xf numFmtId="0" fontId="0" fillId="0" borderId="20" xfId="0" applyNumberFormat="1" applyBorder="1"/>
    <xf numFmtId="0" fontId="0" fillId="8" borderId="14" xfId="0" applyFill="1" applyBorder="1"/>
    <xf numFmtId="0" fontId="0" fillId="8" borderId="22" xfId="0" applyFill="1" applyBorder="1"/>
    <xf numFmtId="0" fontId="0" fillId="0" borderId="0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3" borderId="20" xfId="0" applyFill="1" applyBorder="1"/>
    <xf numFmtId="0" fontId="0" fillId="0" borderId="20" xfId="0" applyBorder="1"/>
    <xf numFmtId="0" fontId="0" fillId="3" borderId="3" xfId="0" applyFill="1" applyBorder="1"/>
    <xf numFmtId="0" fontId="0" fillId="0" borderId="23" xfId="0" applyBorder="1"/>
    <xf numFmtId="0" fontId="0" fillId="3" borderId="30" xfId="0" applyFill="1" applyBorder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1" xfId="0" applyBorder="1"/>
    <xf numFmtId="0" fontId="0" fillId="9" borderId="31" xfId="0" applyFill="1" applyBorder="1"/>
    <xf numFmtId="0" fontId="0" fillId="0" borderId="36" xfId="0" applyBorder="1"/>
    <xf numFmtId="0" fontId="0" fillId="0" borderId="37" xfId="0" applyBorder="1"/>
    <xf numFmtId="0" fontId="0" fillId="9" borderId="31" xfId="0" applyFill="1" applyBorder="1" applyAlignment="1"/>
    <xf numFmtId="0" fontId="1" fillId="9" borderId="31" xfId="0" applyFont="1" applyFill="1" applyBorder="1"/>
    <xf numFmtId="0" fontId="0" fillId="9" borderId="31" xfId="0" applyNumberFormat="1" applyFill="1" applyBorder="1"/>
    <xf numFmtId="0" fontId="0" fillId="0" borderId="0" xfId="0" applyAlignment="1"/>
    <xf numFmtId="2" fontId="0" fillId="3" borderId="9" xfId="0" applyNumberFormat="1" applyFill="1" applyBorder="1"/>
    <xf numFmtId="2" fontId="0" fillId="3" borderId="4" xfId="0" applyNumberFormat="1" applyFill="1" applyBorder="1"/>
    <xf numFmtId="2" fontId="0" fillId="7" borderId="5" xfId="0" applyNumberFormat="1" applyFill="1" applyBorder="1"/>
    <xf numFmtId="2" fontId="0" fillId="0" borderId="10" xfId="0" applyNumberFormat="1" applyBorder="1"/>
    <xf numFmtId="2" fontId="0" fillId="0" borderId="2" xfId="0" applyNumberFormat="1" applyBorder="1"/>
    <xf numFmtId="2" fontId="0" fillId="6" borderId="3" xfId="0" applyNumberFormat="1" applyFill="1" applyBorder="1"/>
    <xf numFmtId="0" fontId="0" fillId="8" borderId="0" xfId="0" applyFill="1" applyBorder="1"/>
    <xf numFmtId="0" fontId="0" fillId="8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Синий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activeCell="J2" sqref="J2"/>
    </sheetView>
  </sheetViews>
  <sheetFormatPr defaultRowHeight="15" x14ac:dyDescent="0.25"/>
  <cols>
    <col min="1" max="1" width="12.28515625" bestFit="1" customWidth="1"/>
    <col min="2" max="3" width="12.140625" bestFit="1" customWidth="1"/>
    <col min="4" max="4" width="13.42578125" bestFit="1" customWidth="1"/>
    <col min="5" max="5" width="12" customWidth="1"/>
    <col min="6" max="6" width="9.5703125" bestFit="1" customWidth="1"/>
    <col min="7" max="7" width="9" customWidth="1"/>
    <col min="8" max="8" width="13.42578125" bestFit="1" customWidth="1"/>
  </cols>
  <sheetData>
    <row r="1" spans="1:9" ht="15.75" thickBot="1" x14ac:dyDescent="0.3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12</v>
      </c>
    </row>
    <row r="2" spans="1:9" ht="15.75" thickBot="1" x14ac:dyDescent="0.3">
      <c r="A2" s="15" t="s">
        <v>4</v>
      </c>
      <c r="B2" s="47">
        <f>(B5*1)</f>
        <v>53750</v>
      </c>
      <c r="C2" s="48">
        <f>$B$2*$B$6/(1+$B$7)</f>
        <v>35181.818181818177</v>
      </c>
      <c r="D2" s="48">
        <f>$B$2*$B$6^2/(1+$B$7)^2</f>
        <v>23028.099173553717</v>
      </c>
      <c r="E2" s="48">
        <f>$B$2*$B$6^3/(1+$B$7)^3</f>
        <v>15072.93764087152</v>
      </c>
      <c r="F2" s="49">
        <f>SUM(B2:E2)</f>
        <v>127032.85499624342</v>
      </c>
      <c r="H2" s="5" t="s">
        <v>11</v>
      </c>
      <c r="I2" s="6">
        <f>F3-F2</f>
        <v>31728.76634109694</v>
      </c>
    </row>
    <row r="3" spans="1:9" ht="15.75" thickBot="1" x14ac:dyDescent="0.3">
      <c r="A3" s="16" t="s">
        <v>5</v>
      </c>
      <c r="B3" s="50">
        <f>(E5*1)</f>
        <v>61812.5</v>
      </c>
      <c r="C3" s="51">
        <f>B3*$E$6/(1+$B$7)</f>
        <v>43830.681818181816</v>
      </c>
      <c r="D3" s="51">
        <f>B3*$E$6^2/(1+$B$7)^2</f>
        <v>31079.938016528926</v>
      </c>
      <c r="E3" s="51">
        <f>B3*$E$6^3/(1+$B$7)^3</f>
        <v>22038.501502629595</v>
      </c>
      <c r="F3" s="52">
        <f>SUM(B3:E3)</f>
        <v>158761.62133734036</v>
      </c>
    </row>
    <row r="4" spans="1:9" ht="15.75" thickBot="1" x14ac:dyDescent="0.3"/>
    <row r="5" spans="1:9" ht="15.75" thickBot="1" x14ac:dyDescent="0.3">
      <c r="A5" s="5" t="s">
        <v>10</v>
      </c>
      <c r="B5" s="6">
        <f>(C12*1000+C13*1000)/C14</f>
        <v>53750</v>
      </c>
      <c r="D5" s="5" t="s">
        <v>9</v>
      </c>
      <c r="E5" s="7">
        <f>(B5+B5*0.15)</f>
        <v>61812.5</v>
      </c>
    </row>
    <row r="6" spans="1:9" x14ac:dyDescent="0.25">
      <c r="A6" t="s">
        <v>6</v>
      </c>
      <c r="B6">
        <v>0.72</v>
      </c>
      <c r="D6" t="s">
        <v>7</v>
      </c>
      <c r="E6">
        <v>0.78</v>
      </c>
    </row>
    <row r="7" spans="1:9" x14ac:dyDescent="0.25">
      <c r="A7" t="s">
        <v>8</v>
      </c>
      <c r="B7">
        <v>0.1</v>
      </c>
    </row>
    <row r="12" spans="1:9" x14ac:dyDescent="0.25">
      <c r="A12" s="55" t="s">
        <v>13</v>
      </c>
      <c r="B12" s="55"/>
      <c r="C12">
        <v>40.299999999999997</v>
      </c>
      <c r="D12" s="8" t="s">
        <v>14</v>
      </c>
    </row>
    <row r="13" spans="1:9" x14ac:dyDescent="0.25">
      <c r="A13" s="55" t="s">
        <v>16</v>
      </c>
      <c r="B13" s="55"/>
      <c r="C13">
        <v>67.2</v>
      </c>
      <c r="D13" t="s">
        <v>14</v>
      </c>
    </row>
    <row r="14" spans="1:9" x14ac:dyDescent="0.25">
      <c r="A14" s="55" t="s">
        <v>17</v>
      </c>
      <c r="B14" s="55"/>
      <c r="C14">
        <v>2</v>
      </c>
      <c r="D14" t="s">
        <v>15</v>
      </c>
    </row>
  </sheetData>
  <mergeCells count="3">
    <mergeCell ref="A12:B12"/>
    <mergeCell ref="A13:B13"/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3047-8073-428A-BB51-E9DF45283BA4}">
  <dimension ref="A1:P1075"/>
  <sheetViews>
    <sheetView tabSelected="1" workbookViewId="0">
      <selection activeCell="J13" sqref="J13"/>
    </sheetView>
  </sheetViews>
  <sheetFormatPr defaultRowHeight="15" x14ac:dyDescent="0.25"/>
  <cols>
    <col min="1" max="1" width="18.85546875" bestFit="1" customWidth="1"/>
    <col min="2" max="2" width="16.5703125" bestFit="1" customWidth="1"/>
    <col min="3" max="3" width="8.7109375" bestFit="1" customWidth="1"/>
    <col min="4" max="4" width="15.85546875" bestFit="1" customWidth="1"/>
    <col min="5" max="5" width="10.85546875" bestFit="1" customWidth="1"/>
    <col min="8" max="8" width="22.85546875" bestFit="1" customWidth="1"/>
    <col min="9" max="9" width="9.28515625" customWidth="1"/>
    <col min="12" max="12" width="10" bestFit="1" customWidth="1"/>
  </cols>
  <sheetData>
    <row r="1" spans="1:15" x14ac:dyDescent="0.25">
      <c r="A1" s="56" t="s">
        <v>18</v>
      </c>
      <c r="B1" s="56"/>
      <c r="C1" s="56"/>
      <c r="D1">
        <v>2000000</v>
      </c>
      <c r="E1" t="s">
        <v>23</v>
      </c>
      <c r="F1" s="55" t="s">
        <v>49</v>
      </c>
      <c r="G1" s="55"/>
      <c r="H1" s="55"/>
      <c r="I1" s="55"/>
      <c r="J1" s="55"/>
      <c r="K1" s="55"/>
      <c r="L1" s="55"/>
    </row>
    <row r="2" spans="1:15" x14ac:dyDescent="0.25">
      <c r="A2" s="56" t="s">
        <v>19</v>
      </c>
      <c r="B2" s="56"/>
      <c r="C2" s="56"/>
      <c r="D2">
        <v>13.6</v>
      </c>
      <c r="E2" t="s">
        <v>22</v>
      </c>
      <c r="F2" s="46" t="s">
        <v>50</v>
      </c>
      <c r="G2" s="46"/>
      <c r="H2" s="46"/>
      <c r="I2" s="46"/>
      <c r="J2" s="46"/>
      <c r="K2" s="46"/>
      <c r="L2" s="46"/>
    </row>
    <row r="3" spans="1:15" x14ac:dyDescent="0.25">
      <c r="A3" s="56" t="s">
        <v>21</v>
      </c>
      <c r="B3" s="56"/>
      <c r="C3" s="56"/>
      <c r="D3">
        <v>3.5</v>
      </c>
      <c r="E3" t="s">
        <v>22</v>
      </c>
      <c r="F3" s="46" t="s">
        <v>50</v>
      </c>
      <c r="G3" s="46"/>
      <c r="H3" s="46"/>
      <c r="I3" s="46"/>
      <c r="J3" s="46"/>
      <c r="K3" s="46"/>
      <c r="L3" s="46"/>
    </row>
    <row r="4" spans="1:15" x14ac:dyDescent="0.25">
      <c r="A4" s="56" t="s">
        <v>20</v>
      </c>
      <c r="B4" s="56"/>
      <c r="C4" s="56"/>
      <c r="D4">
        <v>18.75</v>
      </c>
      <c r="E4" t="s">
        <v>22</v>
      </c>
      <c r="F4" s="46" t="s">
        <v>51</v>
      </c>
      <c r="G4" s="46"/>
      <c r="H4" s="46"/>
      <c r="I4" s="46"/>
      <c r="J4" s="46"/>
      <c r="K4" s="46"/>
      <c r="L4" s="46"/>
    </row>
    <row r="5" spans="1:15" x14ac:dyDescent="0.25">
      <c r="A5" s="56" t="s">
        <v>47</v>
      </c>
      <c r="B5" s="56"/>
      <c r="C5" s="56"/>
      <c r="D5">
        <v>9.4</v>
      </c>
      <c r="E5" t="s">
        <v>22</v>
      </c>
      <c r="F5" s="46" t="s">
        <v>51</v>
      </c>
      <c r="G5" s="46"/>
      <c r="H5" s="46"/>
      <c r="I5" s="46"/>
      <c r="J5" s="46"/>
      <c r="K5" s="46"/>
      <c r="L5" s="46"/>
    </row>
    <row r="6" spans="1:15" x14ac:dyDescent="0.25">
      <c r="A6" s="56" t="s">
        <v>32</v>
      </c>
      <c r="B6" s="56"/>
      <c r="C6" s="56"/>
      <c r="D6">
        <v>64000</v>
      </c>
      <c r="E6" t="s">
        <v>24</v>
      </c>
      <c r="F6" s="46" t="s">
        <v>52</v>
      </c>
      <c r="G6" s="46"/>
      <c r="H6" s="46"/>
      <c r="I6" s="46"/>
      <c r="J6" s="46"/>
      <c r="K6" s="46"/>
      <c r="L6" s="46"/>
      <c r="M6" s="46"/>
      <c r="N6" s="46"/>
      <c r="O6" s="46"/>
    </row>
    <row r="8" spans="1:15" ht="15.75" thickBot="1" x14ac:dyDescent="0.3"/>
    <row r="9" spans="1:15" ht="15.75" thickBot="1" x14ac:dyDescent="0.3">
      <c r="A9" s="57" t="s">
        <v>5</v>
      </c>
      <c r="B9" s="58"/>
      <c r="C9" s="58"/>
      <c r="D9" s="58"/>
      <c r="E9" s="59"/>
    </row>
    <row r="10" spans="1:15" ht="15.75" thickBot="1" x14ac:dyDescent="0.3">
      <c r="A10" s="10"/>
      <c r="B10" s="11" t="s">
        <v>35</v>
      </c>
      <c r="C10" s="11" t="s">
        <v>33</v>
      </c>
      <c r="D10" s="11" t="s">
        <v>34</v>
      </c>
      <c r="E10" s="12" t="s">
        <v>36</v>
      </c>
    </row>
    <row r="11" spans="1:15" ht="15.75" thickBot="1" x14ac:dyDescent="0.3">
      <c r="A11" s="13" t="s">
        <v>25</v>
      </c>
      <c r="B11" s="17">
        <f>$D$1</f>
        <v>2000000</v>
      </c>
      <c r="C11" s="17">
        <f t="shared" ref="C11:E11" si="0">$D$1</f>
        <v>2000000</v>
      </c>
      <c r="D11" s="17">
        <f t="shared" si="0"/>
        <v>2000000</v>
      </c>
      <c r="E11" s="17">
        <f t="shared" si="0"/>
        <v>2000000</v>
      </c>
      <c r="H11" s="5" t="s">
        <v>37</v>
      </c>
      <c r="I11" s="21">
        <f>C17-E17</f>
        <v>656.12500000000011</v>
      </c>
      <c r="J11" s="54" t="s">
        <v>53</v>
      </c>
    </row>
    <row r="12" spans="1:15" ht="15.75" thickBot="1" x14ac:dyDescent="0.3">
      <c r="A12" s="13" t="s">
        <v>26</v>
      </c>
      <c r="B12" s="9">
        <f>AVERAGE($D$2:$D$5)</f>
        <v>11.3125</v>
      </c>
      <c r="C12" s="9">
        <f t="shared" ref="C12:E12" si="1">AVERAGE($D$2:$D$5)</f>
        <v>11.3125</v>
      </c>
      <c r="D12" s="9">
        <f t="shared" si="1"/>
        <v>11.3125</v>
      </c>
      <c r="E12" s="9">
        <f t="shared" si="1"/>
        <v>11.3125</v>
      </c>
    </row>
    <row r="13" spans="1:15" ht="15.75" thickBot="1" x14ac:dyDescent="0.3">
      <c r="A13" s="13" t="s">
        <v>41</v>
      </c>
      <c r="B13" s="9">
        <f>B11*B12%</f>
        <v>226250</v>
      </c>
      <c r="C13" s="9">
        <f t="shared" ref="C13:E13" si="2">C11*C12%</f>
        <v>226250</v>
      </c>
      <c r="D13" s="9">
        <f t="shared" si="2"/>
        <v>226250</v>
      </c>
      <c r="E13" s="9">
        <f t="shared" si="2"/>
        <v>226250</v>
      </c>
      <c r="H13" s="5" t="s">
        <v>38</v>
      </c>
      <c r="I13" s="21">
        <f>C19-E19</f>
        <v>41992000.000000007</v>
      </c>
      <c r="J13" s="54" t="s">
        <v>24</v>
      </c>
    </row>
    <row r="14" spans="1:15" ht="15.75" thickBot="1" x14ac:dyDescent="0.3">
      <c r="A14" s="13" t="s">
        <v>42</v>
      </c>
      <c r="B14" s="9">
        <v>8</v>
      </c>
      <c r="C14" s="9">
        <v>10</v>
      </c>
      <c r="D14" s="9">
        <v>12</v>
      </c>
      <c r="E14" s="9">
        <v>4</v>
      </c>
    </row>
    <row r="15" spans="1:15" ht="15.75" thickBot="1" x14ac:dyDescent="0.3">
      <c r="A15" s="13" t="s">
        <v>27</v>
      </c>
      <c r="B15" s="9">
        <f>B13*B14%</f>
        <v>18100</v>
      </c>
      <c r="C15" s="9">
        <f t="shared" ref="C15:E15" si="3">C13*C14%</f>
        <v>22625</v>
      </c>
      <c r="D15" s="9">
        <f t="shared" si="3"/>
        <v>27150</v>
      </c>
      <c r="E15" s="9">
        <f t="shared" si="3"/>
        <v>9050</v>
      </c>
      <c r="H15" s="5" t="s">
        <v>39</v>
      </c>
      <c r="I15" s="22" t="s">
        <v>43</v>
      </c>
      <c r="J15" s="22">
        <f>B19</f>
        <v>34752000</v>
      </c>
      <c r="K15" s="22" t="s">
        <v>44</v>
      </c>
      <c r="L15" s="21">
        <f>D19</f>
        <v>69504000</v>
      </c>
      <c r="M15" s="53" t="s">
        <v>24</v>
      </c>
    </row>
    <row r="16" spans="1:15" x14ac:dyDescent="0.25">
      <c r="A16" s="13" t="s">
        <v>54</v>
      </c>
      <c r="B16" s="9">
        <v>3</v>
      </c>
      <c r="C16" s="19">
        <v>3.5</v>
      </c>
      <c r="D16" s="9">
        <v>4</v>
      </c>
      <c r="E16" s="20">
        <v>1.5</v>
      </c>
    </row>
    <row r="17" spans="1:14" x14ac:dyDescent="0.25">
      <c r="A17" s="13" t="s">
        <v>29</v>
      </c>
      <c r="B17" s="17">
        <f>B15*B16%</f>
        <v>543</v>
      </c>
      <c r="C17" s="17">
        <f t="shared" ref="C17:E17" si="4">C15*C16%</f>
        <v>791.87500000000011</v>
      </c>
      <c r="D17" s="17">
        <f t="shared" si="4"/>
        <v>1086</v>
      </c>
      <c r="E17" s="17">
        <f t="shared" si="4"/>
        <v>135.75</v>
      </c>
    </row>
    <row r="18" spans="1:14" x14ac:dyDescent="0.25">
      <c r="A18" s="13" t="s">
        <v>30</v>
      </c>
      <c r="B18" s="9">
        <f>$D$6</f>
        <v>64000</v>
      </c>
      <c r="C18" s="9">
        <f t="shared" ref="C18:E18" si="5">$D$6</f>
        <v>64000</v>
      </c>
      <c r="D18" s="9">
        <f t="shared" si="5"/>
        <v>64000</v>
      </c>
      <c r="E18" s="32">
        <f t="shared" si="5"/>
        <v>64000</v>
      </c>
      <c r="F18" s="39"/>
      <c r="G18" s="39"/>
      <c r="H18" s="39"/>
      <c r="I18" s="39"/>
      <c r="J18" s="39"/>
      <c r="K18" s="39"/>
      <c r="L18" s="39"/>
      <c r="M18" s="39"/>
    </row>
    <row r="19" spans="1:14" ht="15.75" thickBot="1" x14ac:dyDescent="0.3">
      <c r="A19" s="14" t="s">
        <v>31</v>
      </c>
      <c r="B19" s="18">
        <f>B17*B18</f>
        <v>34752000</v>
      </c>
      <c r="C19" s="18">
        <f t="shared" ref="C19:E19" si="6">C17*C18</f>
        <v>50680000.000000007</v>
      </c>
      <c r="D19" s="18">
        <f t="shared" si="6"/>
        <v>69504000</v>
      </c>
      <c r="E19" s="33">
        <f t="shared" si="6"/>
        <v>8688000</v>
      </c>
      <c r="F19" s="39"/>
      <c r="G19" s="39"/>
      <c r="H19" s="39"/>
      <c r="I19" s="39"/>
      <c r="J19" s="39"/>
      <c r="K19" s="39"/>
      <c r="L19" s="39"/>
      <c r="M19" s="39"/>
    </row>
    <row r="20" spans="1:14" x14ac:dyDescent="0.25">
      <c r="F20" s="39"/>
      <c r="G20" s="39"/>
      <c r="H20" s="39"/>
      <c r="I20" s="39"/>
      <c r="J20" s="39"/>
      <c r="K20" s="39"/>
      <c r="L20" s="39"/>
      <c r="M20" s="39"/>
    </row>
    <row r="21" spans="1:14" ht="15.75" thickBot="1" x14ac:dyDescent="0.3">
      <c r="F21" s="39"/>
      <c r="G21" s="39"/>
      <c r="H21" s="39"/>
      <c r="I21" s="39"/>
      <c r="J21" s="39"/>
      <c r="K21" s="39"/>
      <c r="L21" s="39"/>
      <c r="M21" s="39"/>
    </row>
    <row r="22" spans="1:14" ht="15.75" thickBot="1" x14ac:dyDescent="0.3">
      <c r="A22" s="57"/>
      <c r="B22" s="58"/>
      <c r="C22" s="58"/>
      <c r="D22" s="58"/>
      <c r="E22" s="59"/>
      <c r="F22" s="35"/>
      <c r="G22" s="40"/>
      <c r="H22" s="40"/>
      <c r="I22" s="40"/>
      <c r="J22" s="40"/>
      <c r="K22" s="40"/>
      <c r="L22" s="40"/>
      <c r="M22" s="39"/>
      <c r="N22" s="36"/>
    </row>
    <row r="23" spans="1:14" x14ac:dyDescent="0.25">
      <c r="A23" s="10"/>
      <c r="B23" s="11" t="s">
        <v>40</v>
      </c>
      <c r="C23" s="11" t="s">
        <v>45</v>
      </c>
      <c r="D23" s="11" t="s">
        <v>48</v>
      </c>
      <c r="E23" s="12" t="s">
        <v>46</v>
      </c>
      <c r="F23" s="35"/>
      <c r="G23" s="40"/>
      <c r="H23" s="40"/>
      <c r="I23" s="40"/>
      <c r="J23" s="40"/>
      <c r="K23" s="40"/>
      <c r="L23" s="40"/>
      <c r="M23" s="39"/>
      <c r="N23" s="35"/>
    </row>
    <row r="24" spans="1:14" x14ac:dyDescent="0.25">
      <c r="A24" s="13" t="s">
        <v>25</v>
      </c>
      <c r="B24" s="17">
        <f>$D$1</f>
        <v>2000000</v>
      </c>
      <c r="C24" s="17">
        <f t="shared" ref="C24:E24" si="7">$D$1</f>
        <v>2000000</v>
      </c>
      <c r="D24" s="17">
        <f t="shared" si="7"/>
        <v>2000000</v>
      </c>
      <c r="E24" s="29">
        <f t="shared" si="7"/>
        <v>2000000</v>
      </c>
      <c r="F24" s="35"/>
      <c r="G24" s="40"/>
      <c r="H24" s="40"/>
      <c r="I24" s="40"/>
      <c r="J24" s="40"/>
      <c r="K24" s="40"/>
      <c r="L24" s="40"/>
      <c r="M24" s="39"/>
      <c r="N24" s="37"/>
    </row>
    <row r="25" spans="1:14" x14ac:dyDescent="0.25">
      <c r="A25" s="13" t="s">
        <v>26</v>
      </c>
      <c r="B25" s="9">
        <f>$D$2</f>
        <v>13.6</v>
      </c>
      <c r="C25" s="9">
        <f t="shared" ref="C25" si="8">$D$3</f>
        <v>3.5</v>
      </c>
      <c r="D25" s="9">
        <f>$D$4</f>
        <v>18.75</v>
      </c>
      <c r="E25" s="30">
        <f>$D$5</f>
        <v>9.4</v>
      </c>
      <c r="F25" s="35"/>
      <c r="G25" s="40"/>
      <c r="H25" s="40"/>
      <c r="I25" s="40"/>
      <c r="J25" s="40"/>
      <c r="K25" s="40"/>
      <c r="L25" s="40"/>
      <c r="M25" s="39"/>
      <c r="N25" s="37"/>
    </row>
    <row r="26" spans="1:14" x14ac:dyDescent="0.25">
      <c r="A26" s="13" t="s">
        <v>41</v>
      </c>
      <c r="B26" s="9">
        <f>B24*B25%</f>
        <v>272000</v>
      </c>
      <c r="C26" s="9">
        <f>C24*C25%</f>
        <v>70000</v>
      </c>
      <c r="D26" s="9">
        <f>D24*D25%</f>
        <v>375000</v>
      </c>
      <c r="E26" s="30">
        <f t="shared" ref="E26" si="9">E24*E25%</f>
        <v>188000</v>
      </c>
      <c r="F26" s="35"/>
      <c r="G26" s="40"/>
      <c r="H26" s="40"/>
      <c r="I26" s="40"/>
      <c r="J26" s="40"/>
      <c r="K26" s="40"/>
      <c r="L26" s="40"/>
      <c r="M26" s="39"/>
      <c r="N26" s="38"/>
    </row>
    <row r="27" spans="1:14" x14ac:dyDescent="0.25">
      <c r="A27" s="13" t="s">
        <v>42</v>
      </c>
      <c r="B27" s="9">
        <v>10</v>
      </c>
      <c r="C27" s="9">
        <v>10</v>
      </c>
      <c r="D27" s="9">
        <v>10</v>
      </c>
      <c r="E27" s="30">
        <v>10</v>
      </c>
      <c r="F27" s="35"/>
      <c r="G27" s="40"/>
      <c r="H27" s="40"/>
      <c r="I27" s="40"/>
      <c r="J27" s="40"/>
      <c r="K27" s="40"/>
      <c r="L27" s="40"/>
      <c r="M27" s="39"/>
    </row>
    <row r="28" spans="1:14" x14ac:dyDescent="0.25">
      <c r="A28" s="13" t="s">
        <v>27</v>
      </c>
      <c r="B28" s="9">
        <f>B26*B27%</f>
        <v>27200</v>
      </c>
      <c r="C28" s="9">
        <f t="shared" ref="C28" si="10">C26*C27%</f>
        <v>7000</v>
      </c>
      <c r="D28" s="9">
        <f t="shared" ref="D28" si="11">D26*D27%</f>
        <v>37500</v>
      </c>
      <c r="E28" s="30">
        <f t="shared" ref="E28" si="12">E26*E27%</f>
        <v>18800</v>
      </c>
      <c r="F28" s="35"/>
      <c r="G28" s="40"/>
      <c r="H28" s="40"/>
      <c r="I28" s="40"/>
      <c r="J28" s="40"/>
      <c r="K28" s="40"/>
      <c r="L28" s="40"/>
      <c r="M28" s="39"/>
    </row>
    <row r="29" spans="1:14" x14ac:dyDescent="0.25">
      <c r="A29" s="13" t="s">
        <v>28</v>
      </c>
      <c r="B29" s="9">
        <v>3.5</v>
      </c>
      <c r="C29" s="19">
        <v>3.5</v>
      </c>
      <c r="D29" s="9">
        <v>3.5</v>
      </c>
      <c r="E29" s="20">
        <v>3.5</v>
      </c>
      <c r="F29" s="35"/>
      <c r="G29" s="40"/>
      <c r="H29" s="40"/>
      <c r="I29" s="40"/>
      <c r="J29" s="40"/>
      <c r="K29" s="40"/>
      <c r="L29" s="40"/>
      <c r="M29" s="39"/>
    </row>
    <row r="30" spans="1:14" x14ac:dyDescent="0.25">
      <c r="A30" s="13" t="s">
        <v>29</v>
      </c>
      <c r="B30" s="17">
        <f>B28*B29%</f>
        <v>952.00000000000011</v>
      </c>
      <c r="C30" s="17">
        <f t="shared" ref="C30" si="13">C28*C29%</f>
        <v>245.00000000000003</v>
      </c>
      <c r="D30" s="17">
        <f t="shared" ref="D30" si="14">D28*D29%</f>
        <v>1312.5000000000002</v>
      </c>
      <c r="E30" s="29">
        <f t="shared" ref="E30" si="15">E28*E29%</f>
        <v>658.00000000000011</v>
      </c>
      <c r="F30" s="35"/>
      <c r="G30" s="40"/>
      <c r="H30" s="40"/>
      <c r="I30" s="40"/>
      <c r="J30" s="40"/>
      <c r="K30" s="40"/>
      <c r="L30" s="40"/>
      <c r="M30" s="39"/>
    </row>
    <row r="31" spans="1:14" x14ac:dyDescent="0.25">
      <c r="A31" s="13" t="s">
        <v>30</v>
      </c>
      <c r="B31" s="9">
        <f>$D$6</f>
        <v>64000</v>
      </c>
      <c r="C31" s="9">
        <f t="shared" ref="C31:E31" si="16">$D$6</f>
        <v>64000</v>
      </c>
      <c r="D31" s="9">
        <f t="shared" si="16"/>
        <v>64000</v>
      </c>
      <c r="E31" s="30">
        <f t="shared" si="16"/>
        <v>64000</v>
      </c>
      <c r="F31" s="35"/>
      <c r="G31" s="39"/>
      <c r="H31" s="39"/>
      <c r="I31" s="39"/>
      <c r="J31" s="39"/>
      <c r="K31" s="39"/>
      <c r="L31" s="39"/>
      <c r="M31" s="39"/>
    </row>
    <row r="32" spans="1:14" ht="15.75" thickBot="1" x14ac:dyDescent="0.3">
      <c r="A32" s="14" t="s">
        <v>31</v>
      </c>
      <c r="B32" s="18">
        <f>B30*B31</f>
        <v>60928000.000000007</v>
      </c>
      <c r="C32" s="18">
        <f t="shared" ref="C32" si="17">C30*C31</f>
        <v>15680000.000000002</v>
      </c>
      <c r="D32" s="18">
        <f t="shared" ref="D32" si="18">D30*D31</f>
        <v>84000000.000000015</v>
      </c>
      <c r="E32" s="31">
        <f t="shared" ref="E32" si="19">E30*E31</f>
        <v>42112000.000000007</v>
      </c>
      <c r="F32" s="35"/>
      <c r="G32" s="39"/>
      <c r="H32" s="39"/>
      <c r="I32" s="39"/>
      <c r="J32" s="39"/>
      <c r="K32" s="39"/>
      <c r="L32" s="39"/>
      <c r="M32" s="39"/>
    </row>
    <row r="33" spans="1:16" x14ac:dyDescent="0.25">
      <c r="A33" s="41"/>
      <c r="B33" s="41"/>
      <c r="C33" s="41"/>
      <c r="D33" s="41"/>
      <c r="E33" s="41"/>
      <c r="F33" s="41"/>
      <c r="G33" s="24"/>
      <c r="H33" s="42"/>
      <c r="I33" s="25"/>
      <c r="J33" s="41"/>
      <c r="K33" s="41"/>
      <c r="L33" s="41"/>
      <c r="M33" s="41"/>
      <c r="N33" s="34"/>
      <c r="O33" s="34"/>
    </row>
    <row r="34" spans="1:16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39"/>
    </row>
    <row r="35" spans="1:16" x14ac:dyDescent="0.25">
      <c r="A35" s="43"/>
      <c r="B35" s="43"/>
      <c r="C35" s="43"/>
      <c r="D35" s="43"/>
      <c r="E35" s="43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39"/>
    </row>
    <row r="36" spans="1:16" x14ac:dyDescent="0.25">
      <c r="A36" s="44"/>
      <c r="B36" s="44"/>
      <c r="C36" s="44"/>
      <c r="D36" s="44"/>
      <c r="E36" s="44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39"/>
    </row>
    <row r="37" spans="1:16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39"/>
    </row>
    <row r="38" spans="1:16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39"/>
    </row>
    <row r="39" spans="1:16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39"/>
    </row>
    <row r="40" spans="1:16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39"/>
    </row>
    <row r="41" spans="1:16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39"/>
    </row>
    <row r="42" spans="1:16" x14ac:dyDescent="0.25">
      <c r="A42" s="40"/>
      <c r="B42" s="40"/>
      <c r="C42" s="45"/>
      <c r="D42" s="40"/>
      <c r="E42" s="45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39"/>
    </row>
    <row r="43" spans="1:16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39"/>
    </row>
    <row r="44" spans="1:16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39"/>
    </row>
    <row r="45" spans="1:16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39"/>
    </row>
    <row r="46" spans="1:16" x14ac:dyDescent="0.2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39"/>
    </row>
    <row r="47" spans="1:16" x14ac:dyDescent="0.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39"/>
    </row>
    <row r="48" spans="1:16" x14ac:dyDescent="0.25">
      <c r="A48" s="43"/>
      <c r="B48" s="43"/>
      <c r="C48" s="43"/>
      <c r="D48" s="43"/>
      <c r="E48" s="43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39"/>
    </row>
    <row r="49" spans="1:16" x14ac:dyDescent="0.25">
      <c r="A49" s="44"/>
      <c r="B49" s="44"/>
      <c r="C49" s="44"/>
      <c r="D49" s="44"/>
      <c r="E49" s="44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39"/>
    </row>
    <row r="50" spans="1:16" x14ac:dyDescent="0.2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39"/>
    </row>
    <row r="51" spans="1:16" x14ac:dyDescent="0.2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39"/>
    </row>
    <row r="52" spans="1:16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39"/>
    </row>
    <row r="53" spans="1:16" x14ac:dyDescent="0.2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39"/>
    </row>
    <row r="54" spans="1:16" x14ac:dyDescent="0.2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39"/>
    </row>
    <row r="55" spans="1:16" x14ac:dyDescent="0.25">
      <c r="A55" s="40"/>
      <c r="B55" s="40"/>
      <c r="C55" s="45"/>
      <c r="D55" s="40"/>
      <c r="E55" s="45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39"/>
    </row>
    <row r="56" spans="1:16" x14ac:dyDescent="0.2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39"/>
    </row>
    <row r="57" spans="1:16" x14ac:dyDescent="0.2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39"/>
    </row>
    <row r="58" spans="1:16" x14ac:dyDescent="0.2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39"/>
    </row>
    <row r="59" spans="1:16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39"/>
    </row>
    <row r="60" spans="1:16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39"/>
    </row>
    <row r="61" spans="1:16" x14ac:dyDescent="0.25">
      <c r="A61" s="43"/>
      <c r="B61" s="43"/>
      <c r="C61" s="43"/>
      <c r="D61" s="43"/>
      <c r="E61" s="43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39"/>
    </row>
    <row r="62" spans="1:16" x14ac:dyDescent="0.25">
      <c r="A62" s="44"/>
      <c r="B62" s="44"/>
      <c r="C62" s="44"/>
      <c r="D62" s="44"/>
      <c r="E62" s="44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39"/>
    </row>
    <row r="63" spans="1:16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39"/>
    </row>
    <row r="64" spans="1:16" x14ac:dyDescent="0.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39"/>
    </row>
    <row r="65" spans="1:16" x14ac:dyDescent="0.2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39"/>
    </row>
    <row r="66" spans="1:16" x14ac:dyDescent="0.2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39"/>
    </row>
    <row r="67" spans="1:16" x14ac:dyDescent="0.2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39"/>
    </row>
    <row r="68" spans="1:16" x14ac:dyDescent="0.25">
      <c r="A68" s="40"/>
      <c r="B68" s="40"/>
      <c r="C68" s="45"/>
      <c r="D68" s="40"/>
      <c r="E68" s="45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39"/>
    </row>
    <row r="69" spans="1:16" x14ac:dyDescent="0.2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39"/>
    </row>
    <row r="70" spans="1:16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39"/>
    </row>
    <row r="71" spans="1:16" x14ac:dyDescent="0.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39"/>
    </row>
    <row r="72" spans="1:16" x14ac:dyDescent="0.2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39"/>
    </row>
    <row r="73" spans="1:16" x14ac:dyDescent="0.2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39"/>
    </row>
    <row r="74" spans="1:16" x14ac:dyDescent="0.2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39"/>
    </row>
    <row r="75" spans="1:16" x14ac:dyDescent="0.2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39"/>
    </row>
    <row r="76" spans="1:16" x14ac:dyDescent="0.2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39"/>
    </row>
    <row r="77" spans="1:16" x14ac:dyDescent="0.2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39"/>
    </row>
    <row r="78" spans="1:16" x14ac:dyDescent="0.2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39"/>
    </row>
    <row r="79" spans="1:16" x14ac:dyDescent="0.2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39"/>
    </row>
    <row r="80" spans="1:16" x14ac:dyDescent="0.2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39"/>
    </row>
    <row r="81" spans="1:16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39"/>
    </row>
    <row r="82" spans="1:16" x14ac:dyDescent="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</row>
    <row r="83" spans="1:16" x14ac:dyDescent="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</row>
    <row r="84" spans="1:16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</row>
    <row r="85" spans="1:16" x14ac:dyDescent="0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</row>
    <row r="86" spans="1:16" x14ac:dyDescent="0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</row>
    <row r="87" spans="1:16" x14ac:dyDescent="0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</row>
    <row r="88" spans="1:16" x14ac:dyDescent="0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</row>
    <row r="89" spans="1:16" x14ac:dyDescent="0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</row>
    <row r="90" spans="1:16" x14ac:dyDescent="0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</row>
    <row r="91" spans="1:16" x14ac:dyDescent="0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</row>
    <row r="92" spans="1:16" x14ac:dyDescent="0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</row>
    <row r="93" spans="1:16" x14ac:dyDescent="0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</row>
    <row r="94" spans="1:16" x14ac:dyDescent="0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</row>
    <row r="95" spans="1:16" x14ac:dyDescent="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</row>
    <row r="96" spans="1:16" x14ac:dyDescent="0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</row>
    <row r="102" spans="1:16" x14ac:dyDescent="0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</row>
    <row r="103" spans="1:16" x14ac:dyDescent="0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</row>
    <row r="104" spans="1:16" x14ac:dyDescent="0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</row>
    <row r="105" spans="1:16" x14ac:dyDescent="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</row>
    <row r="109" spans="1:16" x14ac:dyDescent="0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</row>
    <row r="110" spans="1:16" x14ac:dyDescent="0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</row>
    <row r="111" spans="1:16" x14ac:dyDescent="0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</row>
    <row r="112" spans="1:16" x14ac:dyDescent="0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</row>
    <row r="113" spans="1:16" x14ac:dyDescent="0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</row>
    <row r="114" spans="1:16" x14ac:dyDescent="0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</row>
    <row r="115" spans="1:16" x14ac:dyDescent="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</row>
    <row r="116" spans="1:16" x14ac:dyDescent="0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</row>
    <row r="117" spans="1:16" x14ac:dyDescent="0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</row>
    <row r="118" spans="1:16" x14ac:dyDescent="0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</row>
    <row r="119" spans="1:16" x14ac:dyDescent="0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</row>
    <row r="120" spans="1:16" x14ac:dyDescent="0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</row>
    <row r="121" spans="1:16" x14ac:dyDescent="0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</row>
    <row r="122" spans="1:16" x14ac:dyDescent="0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</row>
    <row r="123" spans="1:16" x14ac:dyDescent="0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</row>
    <row r="124" spans="1:16" x14ac:dyDescent="0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</row>
    <row r="125" spans="1:16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</row>
    <row r="126" spans="1:16" x14ac:dyDescent="0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</row>
    <row r="127" spans="1:16" x14ac:dyDescent="0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</row>
    <row r="128" spans="1:16" x14ac:dyDescent="0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</row>
    <row r="129" spans="1:16" x14ac:dyDescent="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</row>
    <row r="130" spans="1:16" x14ac:dyDescent="0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</row>
    <row r="131" spans="1:16" x14ac:dyDescent="0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</row>
    <row r="132" spans="1:16" x14ac:dyDescent="0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</row>
    <row r="133" spans="1:16" x14ac:dyDescent="0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</row>
    <row r="134" spans="1:16" x14ac:dyDescent="0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</row>
    <row r="135" spans="1:16" x14ac:dyDescent="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</row>
    <row r="136" spans="1:16" x14ac:dyDescent="0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</row>
    <row r="137" spans="1:16" x14ac:dyDescent="0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</row>
    <row r="138" spans="1:16" x14ac:dyDescent="0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</row>
    <row r="139" spans="1:16" x14ac:dyDescent="0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</row>
    <row r="140" spans="1:16" x14ac:dyDescent="0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</row>
    <row r="141" spans="1:16" x14ac:dyDescent="0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</row>
    <row r="142" spans="1:16" x14ac:dyDescent="0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</row>
    <row r="143" spans="1:16" x14ac:dyDescent="0.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</row>
    <row r="144" spans="1:16" x14ac:dyDescent="0.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</row>
    <row r="145" spans="1:16" x14ac:dyDescent="0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</row>
    <row r="146" spans="1:16" x14ac:dyDescent="0.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</row>
    <row r="147" spans="1:16" x14ac:dyDescent="0.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</row>
    <row r="148" spans="1:16" x14ac:dyDescent="0.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</row>
    <row r="149" spans="1:16" x14ac:dyDescent="0.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</row>
    <row r="150" spans="1:16" x14ac:dyDescent="0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</row>
    <row r="151" spans="1:16" x14ac:dyDescent="0.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</row>
    <row r="152" spans="1:16" x14ac:dyDescent="0.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</row>
    <row r="153" spans="1:16" x14ac:dyDescent="0.2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</row>
    <row r="154" spans="1:16" x14ac:dyDescent="0.2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</row>
    <row r="155" spans="1:16" x14ac:dyDescent="0.2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</row>
    <row r="156" spans="1:16" x14ac:dyDescent="0.2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</row>
    <row r="157" spans="1:16" x14ac:dyDescent="0.2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</row>
    <row r="158" spans="1:16" x14ac:dyDescent="0.2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</row>
    <row r="159" spans="1:16" x14ac:dyDescent="0.2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</row>
    <row r="160" spans="1:16" x14ac:dyDescent="0.2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</row>
    <row r="161" spans="1:16" x14ac:dyDescent="0.2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</row>
    <row r="162" spans="1:16" x14ac:dyDescent="0.2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</row>
    <row r="163" spans="1:16" x14ac:dyDescent="0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</row>
    <row r="164" spans="1:16" x14ac:dyDescent="0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</row>
    <row r="165" spans="1:16" x14ac:dyDescent="0.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</row>
    <row r="166" spans="1:16" x14ac:dyDescent="0.2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</row>
    <row r="167" spans="1:16" x14ac:dyDescent="0.2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</row>
    <row r="168" spans="1:16" x14ac:dyDescent="0.2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</row>
    <row r="169" spans="1:16" x14ac:dyDescent="0.2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</row>
    <row r="170" spans="1:16" x14ac:dyDescent="0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</row>
    <row r="171" spans="1:16" x14ac:dyDescent="0.2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</row>
    <row r="172" spans="1:16" x14ac:dyDescent="0.2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</row>
    <row r="173" spans="1:16" x14ac:dyDescent="0.2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</row>
    <row r="174" spans="1:16" x14ac:dyDescent="0.2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</row>
    <row r="175" spans="1:16" x14ac:dyDescent="0.2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</row>
    <row r="176" spans="1:16" x14ac:dyDescent="0.2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</row>
    <row r="177" spans="1:16" x14ac:dyDescent="0.2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</row>
    <row r="178" spans="1:16" x14ac:dyDescent="0.25">
      <c r="A178" s="24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</row>
    <row r="179" spans="1:16" x14ac:dyDescent="0.25">
      <c r="A179" s="24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</row>
    <row r="180" spans="1:16" x14ac:dyDescent="0.25">
      <c r="A180" s="24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</row>
    <row r="181" spans="1:16" x14ac:dyDescent="0.25">
      <c r="A181" s="24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</row>
    <row r="182" spans="1:16" x14ac:dyDescent="0.25">
      <c r="A182" s="24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</row>
    <row r="183" spans="1:16" x14ac:dyDescent="0.25">
      <c r="A183" s="24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</row>
    <row r="184" spans="1:16" x14ac:dyDescent="0.25">
      <c r="A184" s="24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</row>
    <row r="185" spans="1:16" x14ac:dyDescent="0.25">
      <c r="A185" s="24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</row>
    <row r="186" spans="1:16" x14ac:dyDescent="0.25">
      <c r="A186" s="24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</row>
    <row r="187" spans="1:16" x14ac:dyDescent="0.25">
      <c r="A187" s="24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</row>
    <row r="188" spans="1:16" x14ac:dyDescent="0.25">
      <c r="A188" s="24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</row>
    <row r="189" spans="1:16" x14ac:dyDescent="0.25">
      <c r="A189" s="24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</row>
    <row r="190" spans="1:16" x14ac:dyDescent="0.25">
      <c r="A190" s="24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</row>
    <row r="191" spans="1:16" x14ac:dyDescent="0.25">
      <c r="A191" s="24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</row>
    <row r="192" spans="1:16" x14ac:dyDescent="0.25">
      <c r="A192" s="24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</row>
    <row r="193" spans="1:16" x14ac:dyDescent="0.25">
      <c r="A193" s="24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</row>
    <row r="194" spans="1:16" x14ac:dyDescent="0.25">
      <c r="A194" s="24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</row>
    <row r="195" spans="1:16" x14ac:dyDescent="0.25">
      <c r="A195" s="24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</row>
    <row r="196" spans="1:16" x14ac:dyDescent="0.25">
      <c r="A196" s="24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</row>
    <row r="197" spans="1:16" x14ac:dyDescent="0.25">
      <c r="A197" s="24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</row>
    <row r="198" spans="1:16" x14ac:dyDescent="0.25">
      <c r="A198" s="24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</row>
    <row r="199" spans="1:16" x14ac:dyDescent="0.25">
      <c r="A199" s="24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</row>
    <row r="200" spans="1:16" x14ac:dyDescent="0.25">
      <c r="A200" s="24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</row>
    <row r="201" spans="1:16" x14ac:dyDescent="0.25">
      <c r="A201" s="24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</row>
    <row r="202" spans="1:16" x14ac:dyDescent="0.25">
      <c r="A202" s="24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</row>
    <row r="203" spans="1:16" x14ac:dyDescent="0.25">
      <c r="A203" s="24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</row>
    <row r="204" spans="1:16" x14ac:dyDescent="0.25">
      <c r="A204" s="24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</row>
    <row r="205" spans="1:16" x14ac:dyDescent="0.25">
      <c r="A205" s="24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</row>
    <row r="206" spans="1:16" x14ac:dyDescent="0.25">
      <c r="A206" s="24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</row>
    <row r="207" spans="1:16" x14ac:dyDescent="0.25">
      <c r="A207" s="24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</row>
    <row r="208" spans="1:16" x14ac:dyDescent="0.25">
      <c r="A208" s="24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</row>
    <row r="209" spans="1:16" x14ac:dyDescent="0.25">
      <c r="A209" s="24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</row>
    <row r="210" spans="1:16" x14ac:dyDescent="0.25">
      <c r="A210" s="24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</row>
    <row r="211" spans="1:16" x14ac:dyDescent="0.25">
      <c r="A211" s="24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</row>
    <row r="212" spans="1:16" x14ac:dyDescent="0.25">
      <c r="A212" s="24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</row>
    <row r="213" spans="1:16" x14ac:dyDescent="0.25">
      <c r="A213" s="24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</row>
    <row r="214" spans="1:16" x14ac:dyDescent="0.25">
      <c r="A214" s="24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</row>
    <row r="215" spans="1:16" x14ac:dyDescent="0.25">
      <c r="A215" s="24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</row>
    <row r="216" spans="1:16" x14ac:dyDescent="0.25">
      <c r="A216" s="24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</row>
    <row r="217" spans="1:16" x14ac:dyDescent="0.25">
      <c r="A217" s="24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</row>
    <row r="218" spans="1:16" x14ac:dyDescent="0.25">
      <c r="A218" s="24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</row>
    <row r="219" spans="1:16" x14ac:dyDescent="0.25">
      <c r="A219" s="24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</row>
    <row r="220" spans="1:16" x14ac:dyDescent="0.25">
      <c r="A220" s="24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</row>
    <row r="221" spans="1:16" x14ac:dyDescent="0.25">
      <c r="A221" s="24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</row>
    <row r="222" spans="1:16" x14ac:dyDescent="0.25">
      <c r="A222" s="24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</row>
    <row r="223" spans="1:16" x14ac:dyDescent="0.25">
      <c r="A223" s="24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</row>
    <row r="224" spans="1:16" x14ac:dyDescent="0.25">
      <c r="A224" s="24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</row>
    <row r="225" spans="1:16" x14ac:dyDescent="0.25">
      <c r="A225" s="24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</row>
    <row r="226" spans="1:16" x14ac:dyDescent="0.25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5"/>
    </row>
    <row r="227" spans="1:16" x14ac:dyDescent="0.25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5"/>
    </row>
    <row r="228" spans="1:16" x14ac:dyDescent="0.25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5"/>
    </row>
    <row r="229" spans="1:16" x14ac:dyDescent="0.25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5"/>
    </row>
    <row r="230" spans="1:16" x14ac:dyDescent="0.25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5"/>
    </row>
    <row r="231" spans="1:16" x14ac:dyDescent="0.25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5"/>
    </row>
    <row r="232" spans="1:16" x14ac:dyDescent="0.25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5"/>
    </row>
    <row r="233" spans="1:16" x14ac:dyDescent="0.25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5"/>
    </row>
    <row r="234" spans="1:16" x14ac:dyDescent="0.25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5"/>
    </row>
    <row r="235" spans="1:16" x14ac:dyDescent="0.25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5"/>
    </row>
    <row r="236" spans="1:16" x14ac:dyDescent="0.25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5"/>
    </row>
    <row r="237" spans="1:16" x14ac:dyDescent="0.25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5"/>
    </row>
    <row r="238" spans="1:16" x14ac:dyDescent="0.25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5"/>
    </row>
    <row r="239" spans="1:16" x14ac:dyDescent="0.25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5"/>
    </row>
    <row r="240" spans="1:16" x14ac:dyDescent="0.25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5"/>
    </row>
    <row r="241" spans="1:12" x14ac:dyDescent="0.25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5"/>
    </row>
    <row r="242" spans="1:12" x14ac:dyDescent="0.25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5"/>
    </row>
    <row r="243" spans="1:12" x14ac:dyDescent="0.25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5"/>
    </row>
    <row r="244" spans="1:12" x14ac:dyDescent="0.25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5"/>
    </row>
    <row r="245" spans="1:12" x14ac:dyDescent="0.25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5"/>
    </row>
    <row r="246" spans="1:12" x14ac:dyDescent="0.25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5"/>
    </row>
    <row r="247" spans="1:12" x14ac:dyDescent="0.25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5"/>
    </row>
    <row r="248" spans="1:12" x14ac:dyDescent="0.25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5"/>
    </row>
    <row r="249" spans="1:12" x14ac:dyDescent="0.25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5"/>
    </row>
    <row r="250" spans="1:12" x14ac:dyDescent="0.25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5"/>
    </row>
    <row r="251" spans="1:12" x14ac:dyDescent="0.25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5"/>
    </row>
    <row r="252" spans="1:12" x14ac:dyDescent="0.25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5"/>
    </row>
    <row r="253" spans="1:12" x14ac:dyDescent="0.25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5"/>
    </row>
    <row r="254" spans="1:12" x14ac:dyDescent="0.25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5"/>
    </row>
    <row r="255" spans="1:12" x14ac:dyDescent="0.25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5"/>
    </row>
    <row r="256" spans="1:12" x14ac:dyDescent="0.25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5"/>
    </row>
    <row r="257" spans="1:12" x14ac:dyDescent="0.25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5"/>
    </row>
    <row r="258" spans="1:12" x14ac:dyDescent="0.25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5"/>
    </row>
    <row r="259" spans="1:12" x14ac:dyDescent="0.25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5"/>
    </row>
    <row r="260" spans="1:12" x14ac:dyDescent="0.25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5"/>
    </row>
    <row r="261" spans="1:12" x14ac:dyDescent="0.25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5"/>
    </row>
    <row r="262" spans="1:12" x14ac:dyDescent="0.25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5"/>
    </row>
    <row r="263" spans="1:12" x14ac:dyDescent="0.25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5"/>
    </row>
    <row r="264" spans="1:12" x14ac:dyDescent="0.25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5"/>
    </row>
    <row r="265" spans="1:12" x14ac:dyDescent="0.25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5"/>
    </row>
    <row r="266" spans="1:12" x14ac:dyDescent="0.25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5"/>
    </row>
    <row r="267" spans="1:12" x14ac:dyDescent="0.25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5"/>
    </row>
    <row r="268" spans="1:12" x14ac:dyDescent="0.25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5"/>
    </row>
    <row r="269" spans="1:12" x14ac:dyDescent="0.25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5"/>
    </row>
    <row r="270" spans="1:12" x14ac:dyDescent="0.25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5"/>
    </row>
    <row r="271" spans="1:12" x14ac:dyDescent="0.25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5"/>
    </row>
    <row r="272" spans="1:12" x14ac:dyDescent="0.25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5"/>
    </row>
    <row r="273" spans="1:12" x14ac:dyDescent="0.25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5"/>
    </row>
    <row r="274" spans="1:12" x14ac:dyDescent="0.25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5"/>
    </row>
    <row r="275" spans="1:12" x14ac:dyDescent="0.25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5"/>
    </row>
    <row r="276" spans="1:12" x14ac:dyDescent="0.25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5"/>
    </row>
    <row r="277" spans="1:12" x14ac:dyDescent="0.25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5"/>
    </row>
    <row r="278" spans="1:12" x14ac:dyDescent="0.25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5"/>
    </row>
    <row r="279" spans="1:12" x14ac:dyDescent="0.25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5"/>
    </row>
    <row r="280" spans="1:12" x14ac:dyDescent="0.25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5"/>
    </row>
    <row r="281" spans="1:12" x14ac:dyDescent="0.25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5"/>
    </row>
    <row r="282" spans="1:12" x14ac:dyDescent="0.25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5"/>
    </row>
    <row r="283" spans="1:12" x14ac:dyDescent="0.25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5"/>
    </row>
    <row r="284" spans="1:12" x14ac:dyDescent="0.25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5"/>
    </row>
    <row r="285" spans="1:12" x14ac:dyDescent="0.25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5"/>
    </row>
    <row r="286" spans="1:12" x14ac:dyDescent="0.25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5"/>
    </row>
    <row r="287" spans="1:12" x14ac:dyDescent="0.25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5"/>
    </row>
    <row r="288" spans="1:12" x14ac:dyDescent="0.25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5"/>
    </row>
    <row r="289" spans="1:12" x14ac:dyDescent="0.25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5"/>
    </row>
    <row r="290" spans="1:12" x14ac:dyDescent="0.25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5"/>
    </row>
    <row r="291" spans="1:12" x14ac:dyDescent="0.25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5"/>
    </row>
    <row r="292" spans="1:12" x14ac:dyDescent="0.25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5"/>
    </row>
    <row r="293" spans="1:12" x14ac:dyDescent="0.25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5"/>
    </row>
    <row r="294" spans="1:12" x14ac:dyDescent="0.25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5"/>
    </row>
    <row r="295" spans="1:12" x14ac:dyDescent="0.25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5"/>
    </row>
    <row r="296" spans="1:12" x14ac:dyDescent="0.25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5"/>
    </row>
    <row r="297" spans="1:12" x14ac:dyDescent="0.25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5"/>
    </row>
    <row r="298" spans="1:12" x14ac:dyDescent="0.25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5"/>
    </row>
    <row r="299" spans="1:12" x14ac:dyDescent="0.25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5"/>
    </row>
    <row r="300" spans="1:12" x14ac:dyDescent="0.25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5"/>
    </row>
    <row r="301" spans="1:12" x14ac:dyDescent="0.25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5"/>
    </row>
    <row r="302" spans="1:12" x14ac:dyDescent="0.25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5"/>
    </row>
    <row r="303" spans="1:12" x14ac:dyDescent="0.25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5"/>
    </row>
    <row r="304" spans="1:12" x14ac:dyDescent="0.25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5"/>
    </row>
    <row r="305" spans="1:12" x14ac:dyDescent="0.25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5"/>
    </row>
    <row r="306" spans="1:12" x14ac:dyDescent="0.25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5"/>
    </row>
    <row r="307" spans="1:12" x14ac:dyDescent="0.25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5"/>
    </row>
    <row r="308" spans="1:12" x14ac:dyDescent="0.25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5"/>
    </row>
    <row r="309" spans="1:12" x14ac:dyDescent="0.25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5"/>
    </row>
    <row r="310" spans="1:12" x14ac:dyDescent="0.25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5"/>
    </row>
    <row r="311" spans="1:12" x14ac:dyDescent="0.25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5"/>
    </row>
    <row r="312" spans="1:12" x14ac:dyDescent="0.25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5"/>
    </row>
    <row r="313" spans="1:12" x14ac:dyDescent="0.25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5"/>
    </row>
    <row r="314" spans="1:12" x14ac:dyDescent="0.25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5"/>
    </row>
    <row r="315" spans="1:12" x14ac:dyDescent="0.25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5"/>
    </row>
    <row r="316" spans="1:12" x14ac:dyDescent="0.25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5"/>
    </row>
    <row r="317" spans="1:12" x14ac:dyDescent="0.25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5"/>
    </row>
    <row r="318" spans="1:12" x14ac:dyDescent="0.25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5"/>
    </row>
    <row r="319" spans="1:12" x14ac:dyDescent="0.25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5"/>
    </row>
    <row r="320" spans="1:12" x14ac:dyDescent="0.25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5"/>
    </row>
    <row r="321" spans="1:12" x14ac:dyDescent="0.25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5"/>
    </row>
    <row r="322" spans="1:12" x14ac:dyDescent="0.25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5"/>
    </row>
    <row r="323" spans="1:12" x14ac:dyDescent="0.25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5"/>
    </row>
    <row r="324" spans="1:12" x14ac:dyDescent="0.25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5"/>
    </row>
    <row r="325" spans="1:12" x14ac:dyDescent="0.25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5"/>
    </row>
    <row r="326" spans="1:12" x14ac:dyDescent="0.25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5"/>
    </row>
    <row r="327" spans="1:12" x14ac:dyDescent="0.25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5"/>
    </row>
    <row r="328" spans="1:12" x14ac:dyDescent="0.25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5"/>
    </row>
    <row r="329" spans="1:12" x14ac:dyDescent="0.25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5"/>
    </row>
    <row r="330" spans="1:12" x14ac:dyDescent="0.25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5"/>
    </row>
    <row r="331" spans="1:12" x14ac:dyDescent="0.25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5"/>
    </row>
    <row r="332" spans="1:12" x14ac:dyDescent="0.25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5"/>
    </row>
    <row r="333" spans="1:12" x14ac:dyDescent="0.25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5"/>
    </row>
    <row r="334" spans="1:12" x14ac:dyDescent="0.25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5"/>
    </row>
    <row r="335" spans="1:12" x14ac:dyDescent="0.25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5"/>
    </row>
    <row r="336" spans="1:12" x14ac:dyDescent="0.25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5"/>
    </row>
    <row r="337" spans="1:12" x14ac:dyDescent="0.25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5"/>
    </row>
    <row r="338" spans="1:12" x14ac:dyDescent="0.25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5"/>
    </row>
    <row r="339" spans="1:12" x14ac:dyDescent="0.25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5"/>
    </row>
    <row r="340" spans="1:12" x14ac:dyDescent="0.25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5"/>
    </row>
    <row r="341" spans="1:12" x14ac:dyDescent="0.25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5"/>
    </row>
    <row r="342" spans="1:12" x14ac:dyDescent="0.25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5"/>
    </row>
    <row r="343" spans="1:12" x14ac:dyDescent="0.25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5"/>
    </row>
    <row r="344" spans="1:12" x14ac:dyDescent="0.25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5"/>
    </row>
    <row r="345" spans="1:12" x14ac:dyDescent="0.25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5"/>
    </row>
    <row r="346" spans="1:12" x14ac:dyDescent="0.25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5"/>
    </row>
    <row r="347" spans="1:12" x14ac:dyDescent="0.25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5"/>
    </row>
    <row r="348" spans="1:12" x14ac:dyDescent="0.25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5"/>
    </row>
    <row r="349" spans="1:12" x14ac:dyDescent="0.25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5"/>
    </row>
    <row r="350" spans="1:12" x14ac:dyDescent="0.25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5"/>
    </row>
    <row r="351" spans="1:12" x14ac:dyDescent="0.25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5"/>
    </row>
    <row r="352" spans="1:12" x14ac:dyDescent="0.25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5"/>
    </row>
    <row r="353" spans="1:12" x14ac:dyDescent="0.25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5"/>
    </row>
    <row r="354" spans="1:12" x14ac:dyDescent="0.25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5"/>
    </row>
    <row r="355" spans="1:12" x14ac:dyDescent="0.25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5"/>
    </row>
    <row r="356" spans="1:12" x14ac:dyDescent="0.25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5"/>
    </row>
    <row r="357" spans="1:12" x14ac:dyDescent="0.25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5"/>
    </row>
    <row r="358" spans="1:12" x14ac:dyDescent="0.25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5"/>
    </row>
    <row r="359" spans="1:12" x14ac:dyDescent="0.25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5"/>
    </row>
    <row r="360" spans="1:12" x14ac:dyDescent="0.25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5"/>
    </row>
    <row r="361" spans="1:12" x14ac:dyDescent="0.25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5"/>
    </row>
    <row r="362" spans="1:12" x14ac:dyDescent="0.25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5"/>
    </row>
    <row r="363" spans="1:12" x14ac:dyDescent="0.25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5"/>
    </row>
    <row r="364" spans="1:12" x14ac:dyDescent="0.25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5"/>
    </row>
    <row r="365" spans="1:12" x14ac:dyDescent="0.25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5"/>
    </row>
    <row r="366" spans="1:12" x14ac:dyDescent="0.25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5"/>
    </row>
    <row r="367" spans="1:12" x14ac:dyDescent="0.25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5"/>
    </row>
    <row r="368" spans="1:12" x14ac:dyDescent="0.25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5"/>
    </row>
    <row r="369" spans="1:12" x14ac:dyDescent="0.25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5"/>
    </row>
    <row r="370" spans="1:12" x14ac:dyDescent="0.25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5"/>
    </row>
    <row r="371" spans="1:12" x14ac:dyDescent="0.25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5"/>
    </row>
    <row r="372" spans="1:12" x14ac:dyDescent="0.25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5"/>
    </row>
    <row r="373" spans="1:12" x14ac:dyDescent="0.25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5"/>
    </row>
    <row r="374" spans="1:12" x14ac:dyDescent="0.25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5"/>
    </row>
    <row r="375" spans="1:12" x14ac:dyDescent="0.25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5"/>
    </row>
    <row r="376" spans="1:12" x14ac:dyDescent="0.25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5"/>
    </row>
    <row r="377" spans="1:12" x14ac:dyDescent="0.25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5"/>
    </row>
    <row r="378" spans="1:12" x14ac:dyDescent="0.25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5"/>
    </row>
    <row r="379" spans="1:12" x14ac:dyDescent="0.25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5"/>
    </row>
    <row r="380" spans="1:12" x14ac:dyDescent="0.25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5"/>
    </row>
    <row r="381" spans="1:12" x14ac:dyDescent="0.25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5"/>
    </row>
    <row r="382" spans="1:12" x14ac:dyDescent="0.25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5"/>
    </row>
    <row r="383" spans="1:12" x14ac:dyDescent="0.25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5"/>
    </row>
    <row r="384" spans="1:12" x14ac:dyDescent="0.25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5"/>
    </row>
    <row r="385" spans="1:12" x14ac:dyDescent="0.25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5"/>
    </row>
    <row r="386" spans="1:12" x14ac:dyDescent="0.25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5"/>
    </row>
    <row r="387" spans="1:12" x14ac:dyDescent="0.25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5"/>
    </row>
    <row r="388" spans="1:12" x14ac:dyDescent="0.25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5"/>
    </row>
    <row r="389" spans="1:12" x14ac:dyDescent="0.25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5"/>
    </row>
    <row r="390" spans="1:12" x14ac:dyDescent="0.25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5"/>
    </row>
    <row r="391" spans="1:12" x14ac:dyDescent="0.25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5"/>
    </row>
    <row r="392" spans="1:12" x14ac:dyDescent="0.25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5"/>
    </row>
    <row r="393" spans="1:12" x14ac:dyDescent="0.25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5"/>
    </row>
    <row r="394" spans="1:12" x14ac:dyDescent="0.25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5"/>
    </row>
    <row r="395" spans="1:12" x14ac:dyDescent="0.25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5"/>
    </row>
    <row r="396" spans="1:12" x14ac:dyDescent="0.25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5"/>
    </row>
    <row r="397" spans="1:12" x14ac:dyDescent="0.25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5"/>
    </row>
    <row r="398" spans="1:12" x14ac:dyDescent="0.25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5"/>
    </row>
    <row r="399" spans="1:12" x14ac:dyDescent="0.25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5"/>
    </row>
    <row r="400" spans="1:12" x14ac:dyDescent="0.25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5"/>
    </row>
    <row r="401" spans="1:12" x14ac:dyDescent="0.25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5"/>
    </row>
    <row r="402" spans="1:12" x14ac:dyDescent="0.25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5"/>
    </row>
    <row r="403" spans="1:12" x14ac:dyDescent="0.25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5"/>
    </row>
    <row r="404" spans="1:12" x14ac:dyDescent="0.25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5"/>
    </row>
    <row r="405" spans="1:12" x14ac:dyDescent="0.25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5"/>
    </row>
    <row r="406" spans="1:12" x14ac:dyDescent="0.25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5"/>
    </row>
    <row r="407" spans="1:12" x14ac:dyDescent="0.25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5"/>
    </row>
    <row r="408" spans="1:12" x14ac:dyDescent="0.25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5"/>
    </row>
    <row r="409" spans="1:12" x14ac:dyDescent="0.25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5"/>
    </row>
    <row r="410" spans="1:12" x14ac:dyDescent="0.25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5"/>
    </row>
    <row r="411" spans="1:12" x14ac:dyDescent="0.25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5"/>
    </row>
    <row r="412" spans="1:12" x14ac:dyDescent="0.25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5"/>
    </row>
    <row r="413" spans="1:12" x14ac:dyDescent="0.25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5"/>
    </row>
    <row r="414" spans="1:12" x14ac:dyDescent="0.25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5"/>
    </row>
    <row r="415" spans="1:12" x14ac:dyDescent="0.25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5"/>
    </row>
    <row r="416" spans="1:12" x14ac:dyDescent="0.25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5"/>
    </row>
    <row r="417" spans="1:12" x14ac:dyDescent="0.25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5"/>
    </row>
    <row r="418" spans="1:12" x14ac:dyDescent="0.25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5"/>
    </row>
    <row r="419" spans="1:12" x14ac:dyDescent="0.25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5"/>
    </row>
    <row r="420" spans="1:12" x14ac:dyDescent="0.25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5"/>
    </row>
    <row r="421" spans="1:12" x14ac:dyDescent="0.25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5"/>
    </row>
    <row r="422" spans="1:12" x14ac:dyDescent="0.25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5"/>
    </row>
    <row r="423" spans="1:12" x14ac:dyDescent="0.25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5"/>
    </row>
    <row r="424" spans="1:12" x14ac:dyDescent="0.25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5"/>
    </row>
    <row r="425" spans="1:12" x14ac:dyDescent="0.25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5"/>
    </row>
    <row r="426" spans="1:12" x14ac:dyDescent="0.25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5"/>
    </row>
    <row r="427" spans="1:12" x14ac:dyDescent="0.25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5"/>
    </row>
    <row r="428" spans="1:12" x14ac:dyDescent="0.25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5"/>
    </row>
    <row r="429" spans="1:12" x14ac:dyDescent="0.25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5"/>
    </row>
    <row r="430" spans="1:12" x14ac:dyDescent="0.25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5"/>
    </row>
    <row r="431" spans="1:12" x14ac:dyDescent="0.25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5"/>
    </row>
    <row r="432" spans="1:12" x14ac:dyDescent="0.25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5"/>
    </row>
    <row r="433" spans="1:12" x14ac:dyDescent="0.25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5"/>
    </row>
    <row r="434" spans="1:12" x14ac:dyDescent="0.25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5"/>
    </row>
    <row r="435" spans="1:12" x14ac:dyDescent="0.25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5"/>
    </row>
    <row r="436" spans="1:12" x14ac:dyDescent="0.25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5"/>
    </row>
    <row r="437" spans="1:12" x14ac:dyDescent="0.25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5"/>
    </row>
    <row r="438" spans="1:12" x14ac:dyDescent="0.25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5"/>
    </row>
    <row r="439" spans="1:12" x14ac:dyDescent="0.25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5"/>
    </row>
    <row r="440" spans="1:12" x14ac:dyDescent="0.25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5"/>
    </row>
    <row r="441" spans="1:12" x14ac:dyDescent="0.25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5"/>
    </row>
    <row r="442" spans="1:12" x14ac:dyDescent="0.25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5"/>
    </row>
    <row r="443" spans="1:12" x14ac:dyDescent="0.25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5"/>
    </row>
    <row r="444" spans="1:12" x14ac:dyDescent="0.25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5"/>
    </row>
    <row r="445" spans="1:12" x14ac:dyDescent="0.25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5"/>
    </row>
    <row r="446" spans="1:12" x14ac:dyDescent="0.25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5"/>
    </row>
    <row r="447" spans="1:12" x14ac:dyDescent="0.25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5"/>
    </row>
    <row r="448" spans="1:12" x14ac:dyDescent="0.25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5"/>
    </row>
    <row r="449" spans="1:12" x14ac:dyDescent="0.25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5"/>
    </row>
    <row r="450" spans="1:12" x14ac:dyDescent="0.25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5"/>
    </row>
    <row r="451" spans="1:12" x14ac:dyDescent="0.25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5"/>
    </row>
    <row r="452" spans="1:12" x14ac:dyDescent="0.25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5"/>
    </row>
    <row r="453" spans="1:12" x14ac:dyDescent="0.25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5"/>
    </row>
    <row r="454" spans="1:12" x14ac:dyDescent="0.25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5"/>
    </row>
    <row r="455" spans="1:12" x14ac:dyDescent="0.25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5"/>
    </row>
    <row r="456" spans="1:12" x14ac:dyDescent="0.25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5"/>
    </row>
    <row r="457" spans="1:12" x14ac:dyDescent="0.25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5"/>
    </row>
    <row r="458" spans="1:12" x14ac:dyDescent="0.25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5"/>
    </row>
    <row r="459" spans="1:12" x14ac:dyDescent="0.25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5"/>
    </row>
    <row r="460" spans="1:12" x14ac:dyDescent="0.25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5"/>
    </row>
    <row r="461" spans="1:12" x14ac:dyDescent="0.25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5"/>
    </row>
    <row r="462" spans="1:12" x14ac:dyDescent="0.25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5"/>
    </row>
    <row r="463" spans="1:12" x14ac:dyDescent="0.25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5"/>
    </row>
    <row r="464" spans="1:12" x14ac:dyDescent="0.25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5"/>
    </row>
    <row r="465" spans="1:12" x14ac:dyDescent="0.25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5"/>
    </row>
    <row r="466" spans="1:12" x14ac:dyDescent="0.25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5"/>
    </row>
    <row r="467" spans="1:12" x14ac:dyDescent="0.25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5"/>
    </row>
    <row r="468" spans="1:12" x14ac:dyDescent="0.25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5"/>
    </row>
    <row r="469" spans="1:12" x14ac:dyDescent="0.25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5"/>
    </row>
    <row r="470" spans="1:12" x14ac:dyDescent="0.25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5"/>
    </row>
    <row r="471" spans="1:12" x14ac:dyDescent="0.25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5"/>
    </row>
    <row r="472" spans="1:12" x14ac:dyDescent="0.25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5"/>
    </row>
    <row r="473" spans="1:12" x14ac:dyDescent="0.25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5"/>
    </row>
    <row r="474" spans="1:12" x14ac:dyDescent="0.25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5"/>
    </row>
    <row r="475" spans="1:12" x14ac:dyDescent="0.25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5"/>
    </row>
    <row r="476" spans="1:12" x14ac:dyDescent="0.25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5"/>
    </row>
    <row r="477" spans="1:12" x14ac:dyDescent="0.25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5"/>
    </row>
    <row r="478" spans="1:12" x14ac:dyDescent="0.25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5"/>
    </row>
    <row r="479" spans="1:12" x14ac:dyDescent="0.25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5"/>
    </row>
    <row r="480" spans="1:12" x14ac:dyDescent="0.25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5"/>
    </row>
    <row r="481" spans="1:12" x14ac:dyDescent="0.25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5"/>
    </row>
    <row r="482" spans="1:12" x14ac:dyDescent="0.25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5"/>
    </row>
    <row r="483" spans="1:12" x14ac:dyDescent="0.25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5"/>
    </row>
    <row r="484" spans="1:12" x14ac:dyDescent="0.25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5"/>
    </row>
    <row r="485" spans="1:12" x14ac:dyDescent="0.25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5"/>
    </row>
    <row r="486" spans="1:12" x14ac:dyDescent="0.25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5"/>
    </row>
    <row r="487" spans="1:12" x14ac:dyDescent="0.25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5"/>
    </row>
    <row r="488" spans="1:12" x14ac:dyDescent="0.25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5"/>
    </row>
    <row r="489" spans="1:12" x14ac:dyDescent="0.25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5"/>
    </row>
    <row r="490" spans="1:12" x14ac:dyDescent="0.25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5"/>
    </row>
    <row r="491" spans="1:12" x14ac:dyDescent="0.25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5"/>
    </row>
    <row r="492" spans="1:12" x14ac:dyDescent="0.25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5"/>
    </row>
    <row r="493" spans="1:12" x14ac:dyDescent="0.25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5"/>
    </row>
    <row r="494" spans="1:12" x14ac:dyDescent="0.25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5"/>
    </row>
    <row r="495" spans="1:12" x14ac:dyDescent="0.25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5"/>
    </row>
    <row r="496" spans="1:12" x14ac:dyDescent="0.25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5"/>
    </row>
    <row r="497" spans="1:12" x14ac:dyDescent="0.25">
      <c r="A497" s="24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5"/>
    </row>
    <row r="498" spans="1:12" x14ac:dyDescent="0.25">
      <c r="A498" s="24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5"/>
    </row>
    <row r="499" spans="1:12" x14ac:dyDescent="0.25">
      <c r="A499" s="24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5"/>
    </row>
    <row r="500" spans="1:12" x14ac:dyDescent="0.25">
      <c r="A500" s="24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5"/>
    </row>
    <row r="501" spans="1:12" x14ac:dyDescent="0.25">
      <c r="A501" s="24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5"/>
    </row>
    <row r="502" spans="1:12" x14ac:dyDescent="0.25">
      <c r="A502" s="24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5"/>
    </row>
    <row r="503" spans="1:12" x14ac:dyDescent="0.25">
      <c r="A503" s="24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5"/>
    </row>
    <row r="504" spans="1:12" x14ac:dyDescent="0.25">
      <c r="A504" s="24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5"/>
    </row>
    <row r="505" spans="1:12" x14ac:dyDescent="0.25">
      <c r="A505" s="24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5"/>
    </row>
    <row r="506" spans="1:12" x14ac:dyDescent="0.25">
      <c r="A506" s="24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5"/>
    </row>
    <row r="507" spans="1:12" x14ac:dyDescent="0.25">
      <c r="A507" s="24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5"/>
    </row>
    <row r="508" spans="1:12" x14ac:dyDescent="0.25">
      <c r="A508" s="24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5"/>
    </row>
    <row r="509" spans="1:12" x14ac:dyDescent="0.25">
      <c r="A509" s="24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5"/>
    </row>
    <row r="510" spans="1:12" x14ac:dyDescent="0.25">
      <c r="A510" s="24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5"/>
    </row>
    <row r="511" spans="1:12" x14ac:dyDescent="0.25">
      <c r="A511" s="24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5"/>
    </row>
    <row r="512" spans="1:12" x14ac:dyDescent="0.25">
      <c r="A512" s="24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5"/>
    </row>
    <row r="513" spans="1:12" x14ac:dyDescent="0.25">
      <c r="A513" s="24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5"/>
    </row>
    <row r="514" spans="1:12" x14ac:dyDescent="0.25">
      <c r="A514" s="24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5"/>
    </row>
    <row r="515" spans="1:12" x14ac:dyDescent="0.25">
      <c r="A515" s="24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5"/>
    </row>
    <row r="516" spans="1:12" x14ac:dyDescent="0.25">
      <c r="A516" s="24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5"/>
    </row>
    <row r="517" spans="1:12" x14ac:dyDescent="0.25">
      <c r="A517" s="24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5"/>
    </row>
    <row r="518" spans="1:12" x14ac:dyDescent="0.25">
      <c r="A518" s="24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5"/>
    </row>
    <row r="519" spans="1:12" x14ac:dyDescent="0.25">
      <c r="A519" s="24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5"/>
    </row>
    <row r="520" spans="1:12" x14ac:dyDescent="0.25">
      <c r="A520" s="24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5"/>
    </row>
    <row r="521" spans="1:12" x14ac:dyDescent="0.25">
      <c r="A521" s="24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5"/>
    </row>
    <row r="522" spans="1:12" x14ac:dyDescent="0.25">
      <c r="A522" s="24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5"/>
    </row>
    <row r="523" spans="1:12" x14ac:dyDescent="0.25">
      <c r="A523" s="24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5"/>
    </row>
    <row r="524" spans="1:12" x14ac:dyDescent="0.25">
      <c r="A524" s="24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5"/>
    </row>
    <row r="525" spans="1:12" x14ac:dyDescent="0.25">
      <c r="A525" s="24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5"/>
    </row>
    <row r="526" spans="1:12" x14ac:dyDescent="0.25">
      <c r="A526" s="24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5"/>
    </row>
    <row r="527" spans="1:12" x14ac:dyDescent="0.25">
      <c r="A527" s="24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5"/>
    </row>
    <row r="528" spans="1:12" x14ac:dyDescent="0.25">
      <c r="A528" s="24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5"/>
    </row>
    <row r="529" spans="1:12" x14ac:dyDescent="0.25">
      <c r="A529" s="24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5"/>
    </row>
    <row r="530" spans="1:12" x14ac:dyDescent="0.25">
      <c r="A530" s="24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5"/>
    </row>
    <row r="531" spans="1:12" x14ac:dyDescent="0.25">
      <c r="A531" s="24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5"/>
    </row>
    <row r="532" spans="1:12" x14ac:dyDescent="0.25">
      <c r="A532" s="24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5"/>
    </row>
    <row r="533" spans="1:12" x14ac:dyDescent="0.25">
      <c r="A533" s="24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5"/>
    </row>
    <row r="534" spans="1:12" x14ac:dyDescent="0.25">
      <c r="A534" s="24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5"/>
    </row>
    <row r="535" spans="1:12" x14ac:dyDescent="0.25">
      <c r="A535" s="24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5"/>
    </row>
    <row r="536" spans="1:12" x14ac:dyDescent="0.25">
      <c r="A536" s="24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5"/>
    </row>
    <row r="537" spans="1:12" x14ac:dyDescent="0.25">
      <c r="A537" s="24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5"/>
    </row>
    <row r="538" spans="1:12" x14ac:dyDescent="0.25">
      <c r="A538" s="24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5"/>
    </row>
    <row r="539" spans="1:12" x14ac:dyDescent="0.25">
      <c r="A539" s="24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5"/>
    </row>
    <row r="540" spans="1:12" x14ac:dyDescent="0.25">
      <c r="A540" s="24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5"/>
    </row>
    <row r="541" spans="1:12" x14ac:dyDescent="0.25">
      <c r="A541" s="24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5"/>
    </row>
    <row r="542" spans="1:12" x14ac:dyDescent="0.25">
      <c r="A542" s="24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5"/>
    </row>
    <row r="543" spans="1:12" x14ac:dyDescent="0.25">
      <c r="A543" s="24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5"/>
    </row>
    <row r="544" spans="1:12" x14ac:dyDescent="0.25">
      <c r="A544" s="24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5"/>
    </row>
    <row r="545" spans="1:12" x14ac:dyDescent="0.25">
      <c r="A545" s="24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5"/>
    </row>
    <row r="546" spans="1:12" x14ac:dyDescent="0.25">
      <c r="A546" s="24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5"/>
    </row>
    <row r="547" spans="1:12" x14ac:dyDescent="0.25">
      <c r="A547" s="24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5"/>
    </row>
    <row r="548" spans="1:12" x14ac:dyDescent="0.25">
      <c r="A548" s="24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5"/>
    </row>
    <row r="549" spans="1:12" x14ac:dyDescent="0.25">
      <c r="A549" s="24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5"/>
    </row>
    <row r="550" spans="1:12" x14ac:dyDescent="0.25">
      <c r="A550" s="24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5"/>
    </row>
    <row r="551" spans="1:12" x14ac:dyDescent="0.25">
      <c r="A551" s="24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5"/>
    </row>
    <row r="552" spans="1:12" x14ac:dyDescent="0.25">
      <c r="A552" s="24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5"/>
    </row>
    <row r="553" spans="1:12" x14ac:dyDescent="0.25">
      <c r="A553" s="24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5"/>
    </row>
    <row r="554" spans="1:12" x14ac:dyDescent="0.25">
      <c r="A554" s="24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5"/>
    </row>
    <row r="555" spans="1:12" x14ac:dyDescent="0.25">
      <c r="A555" s="24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5"/>
    </row>
    <row r="556" spans="1:12" x14ac:dyDescent="0.25">
      <c r="A556" s="24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5"/>
    </row>
    <row r="557" spans="1:12" x14ac:dyDescent="0.25">
      <c r="A557" s="24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5"/>
    </row>
    <row r="558" spans="1:12" x14ac:dyDescent="0.25">
      <c r="A558" s="24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5"/>
    </row>
    <row r="559" spans="1:12" x14ac:dyDescent="0.25">
      <c r="A559" s="24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5"/>
    </row>
    <row r="560" spans="1:12" x14ac:dyDescent="0.25">
      <c r="A560" s="24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5"/>
    </row>
    <row r="561" spans="1:12" x14ac:dyDescent="0.25">
      <c r="A561" s="24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5"/>
    </row>
    <row r="562" spans="1:12" x14ac:dyDescent="0.25">
      <c r="A562" s="24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5"/>
    </row>
    <row r="563" spans="1:12" x14ac:dyDescent="0.25">
      <c r="A563" s="24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5"/>
    </row>
    <row r="564" spans="1:12" x14ac:dyDescent="0.25">
      <c r="A564" s="24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5"/>
    </row>
    <row r="565" spans="1:12" x14ac:dyDescent="0.25">
      <c r="A565" s="24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5"/>
    </row>
    <row r="566" spans="1:12" x14ac:dyDescent="0.25">
      <c r="A566" s="24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5"/>
    </row>
    <row r="567" spans="1:12" x14ac:dyDescent="0.25">
      <c r="A567" s="24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5"/>
    </row>
    <row r="568" spans="1:12" x14ac:dyDescent="0.25">
      <c r="A568" s="24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5"/>
    </row>
    <row r="569" spans="1:12" x14ac:dyDescent="0.25">
      <c r="A569" s="24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5"/>
    </row>
    <row r="570" spans="1:12" x14ac:dyDescent="0.25">
      <c r="A570" s="24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5"/>
    </row>
    <row r="571" spans="1:12" x14ac:dyDescent="0.25">
      <c r="A571" s="24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5"/>
    </row>
    <row r="572" spans="1:12" x14ac:dyDescent="0.25">
      <c r="A572" s="24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5"/>
    </row>
    <row r="573" spans="1:12" x14ac:dyDescent="0.25">
      <c r="A573" s="24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5"/>
    </row>
    <row r="574" spans="1:12" x14ac:dyDescent="0.25">
      <c r="A574" s="24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5"/>
    </row>
    <row r="575" spans="1:12" x14ac:dyDescent="0.25">
      <c r="A575" s="24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5"/>
    </row>
    <row r="576" spans="1:12" x14ac:dyDescent="0.25">
      <c r="A576" s="24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5"/>
    </row>
    <row r="577" spans="1:12" x14ac:dyDescent="0.25">
      <c r="A577" s="24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5"/>
    </row>
    <row r="578" spans="1:12" x14ac:dyDescent="0.25">
      <c r="A578" s="24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5"/>
    </row>
    <row r="579" spans="1:12" x14ac:dyDescent="0.25">
      <c r="A579" s="24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5"/>
    </row>
    <row r="580" spans="1:12" x14ac:dyDescent="0.25">
      <c r="A580" s="24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5"/>
    </row>
    <row r="581" spans="1:12" x14ac:dyDescent="0.25">
      <c r="A581" s="24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5"/>
    </row>
    <row r="582" spans="1:12" x14ac:dyDescent="0.25">
      <c r="A582" s="24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5"/>
    </row>
    <row r="583" spans="1:12" x14ac:dyDescent="0.25">
      <c r="A583" s="24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5"/>
    </row>
    <row r="584" spans="1:12" x14ac:dyDescent="0.25">
      <c r="A584" s="24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5"/>
    </row>
    <row r="585" spans="1:12" x14ac:dyDescent="0.25">
      <c r="A585" s="24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5"/>
    </row>
    <row r="586" spans="1:12" x14ac:dyDescent="0.25">
      <c r="A586" s="24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5"/>
    </row>
    <row r="587" spans="1:12" x14ac:dyDescent="0.25">
      <c r="A587" s="24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5"/>
    </row>
    <row r="588" spans="1:12" x14ac:dyDescent="0.25">
      <c r="A588" s="24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5"/>
    </row>
    <row r="589" spans="1:12" x14ac:dyDescent="0.25">
      <c r="A589" s="24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5"/>
    </row>
    <row r="590" spans="1:12" x14ac:dyDescent="0.25">
      <c r="A590" s="24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5"/>
    </row>
    <row r="591" spans="1:12" x14ac:dyDescent="0.25">
      <c r="A591" s="24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5"/>
    </row>
    <row r="592" spans="1:12" x14ac:dyDescent="0.25">
      <c r="A592" s="24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5"/>
    </row>
    <row r="593" spans="1:12" x14ac:dyDescent="0.25">
      <c r="A593" s="24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5"/>
    </row>
    <row r="594" spans="1:12" x14ac:dyDescent="0.25">
      <c r="A594" s="24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5"/>
    </row>
    <row r="595" spans="1:12" x14ac:dyDescent="0.25">
      <c r="A595" s="24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5"/>
    </row>
    <row r="596" spans="1:12" x14ac:dyDescent="0.25">
      <c r="A596" s="24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5"/>
    </row>
    <row r="597" spans="1:12" x14ac:dyDescent="0.25">
      <c r="A597" s="24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5"/>
    </row>
    <row r="598" spans="1:12" x14ac:dyDescent="0.25">
      <c r="A598" s="24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5"/>
    </row>
    <row r="599" spans="1:12" x14ac:dyDescent="0.25">
      <c r="A599" s="24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5"/>
    </row>
    <row r="600" spans="1:12" x14ac:dyDescent="0.25">
      <c r="A600" s="24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5"/>
    </row>
    <row r="601" spans="1:12" x14ac:dyDescent="0.25">
      <c r="A601" s="24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5"/>
    </row>
    <row r="602" spans="1:12" x14ac:dyDescent="0.25">
      <c r="A602" s="24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5"/>
    </row>
    <row r="603" spans="1:12" x14ac:dyDescent="0.25">
      <c r="A603" s="24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5"/>
    </row>
    <row r="604" spans="1:12" x14ac:dyDescent="0.25">
      <c r="A604" s="24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5"/>
    </row>
    <row r="605" spans="1:12" x14ac:dyDescent="0.25">
      <c r="A605" s="24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5"/>
    </row>
    <row r="606" spans="1:12" x14ac:dyDescent="0.25">
      <c r="A606" s="24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5"/>
    </row>
    <row r="607" spans="1:12" x14ac:dyDescent="0.25">
      <c r="A607" s="24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5"/>
    </row>
    <row r="608" spans="1:12" x14ac:dyDescent="0.25">
      <c r="A608" s="24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5"/>
    </row>
    <row r="609" spans="1:12" x14ac:dyDescent="0.25">
      <c r="A609" s="24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5"/>
    </row>
    <row r="610" spans="1:12" x14ac:dyDescent="0.25">
      <c r="A610" s="24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5"/>
    </row>
    <row r="611" spans="1:12" x14ac:dyDescent="0.25">
      <c r="A611" s="24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5"/>
    </row>
    <row r="612" spans="1:12" x14ac:dyDescent="0.25">
      <c r="A612" s="24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5"/>
    </row>
    <row r="613" spans="1:12" x14ac:dyDescent="0.25">
      <c r="A613" s="24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5"/>
    </row>
    <row r="614" spans="1:12" x14ac:dyDescent="0.25">
      <c r="A614" s="24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5"/>
    </row>
    <row r="615" spans="1:12" x14ac:dyDescent="0.25">
      <c r="A615" s="24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5"/>
    </row>
    <row r="616" spans="1:12" x14ac:dyDescent="0.25">
      <c r="A616" s="24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5"/>
    </row>
    <row r="617" spans="1:12" x14ac:dyDescent="0.25">
      <c r="A617" s="24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5"/>
    </row>
    <row r="618" spans="1:12" x14ac:dyDescent="0.25">
      <c r="A618" s="24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5"/>
    </row>
    <row r="619" spans="1:12" x14ac:dyDescent="0.25">
      <c r="A619" s="24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5"/>
    </row>
    <row r="620" spans="1:12" x14ac:dyDescent="0.25">
      <c r="A620" s="24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5"/>
    </row>
    <row r="621" spans="1:12" x14ac:dyDescent="0.25">
      <c r="A621" s="24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5"/>
    </row>
    <row r="622" spans="1:12" x14ac:dyDescent="0.25">
      <c r="A622" s="24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5"/>
    </row>
    <row r="623" spans="1:12" x14ac:dyDescent="0.25">
      <c r="A623" s="24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5"/>
    </row>
    <row r="624" spans="1:12" x14ac:dyDescent="0.25">
      <c r="A624" s="24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5"/>
    </row>
    <row r="625" spans="1:12" x14ac:dyDescent="0.25">
      <c r="A625" s="24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5"/>
    </row>
    <row r="626" spans="1:12" x14ac:dyDescent="0.25">
      <c r="A626" s="24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5"/>
    </row>
    <row r="627" spans="1:12" x14ac:dyDescent="0.25">
      <c r="A627" s="24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5"/>
    </row>
    <row r="628" spans="1:12" x14ac:dyDescent="0.25">
      <c r="A628" s="24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5"/>
    </row>
    <row r="629" spans="1:12" x14ac:dyDescent="0.25">
      <c r="A629" s="24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5"/>
    </row>
    <row r="630" spans="1:12" x14ac:dyDescent="0.25">
      <c r="A630" s="24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5"/>
    </row>
    <row r="631" spans="1:12" x14ac:dyDescent="0.25">
      <c r="A631" s="24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5"/>
    </row>
    <row r="632" spans="1:12" x14ac:dyDescent="0.25">
      <c r="A632" s="24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5"/>
    </row>
    <row r="633" spans="1:12" x14ac:dyDescent="0.25">
      <c r="A633" s="24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5"/>
    </row>
    <row r="634" spans="1:12" x14ac:dyDescent="0.25">
      <c r="A634" s="24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5"/>
    </row>
    <row r="635" spans="1:12" x14ac:dyDescent="0.25">
      <c r="A635" s="24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5"/>
    </row>
    <row r="636" spans="1:12" x14ac:dyDescent="0.25">
      <c r="A636" s="24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5"/>
    </row>
    <row r="637" spans="1:12" x14ac:dyDescent="0.25">
      <c r="A637" s="24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5"/>
    </row>
    <row r="638" spans="1:12" x14ac:dyDescent="0.25">
      <c r="A638" s="24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5"/>
    </row>
    <row r="639" spans="1:12" x14ac:dyDescent="0.25">
      <c r="A639" s="24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5"/>
    </row>
    <row r="640" spans="1:12" x14ac:dyDescent="0.25">
      <c r="A640" s="24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5"/>
    </row>
    <row r="641" spans="1:12" x14ac:dyDescent="0.25">
      <c r="A641" s="24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5"/>
    </row>
    <row r="642" spans="1:12" x14ac:dyDescent="0.25">
      <c r="A642" s="24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5"/>
    </row>
    <row r="643" spans="1:12" x14ac:dyDescent="0.25">
      <c r="A643" s="24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5"/>
    </row>
    <row r="644" spans="1:12" x14ac:dyDescent="0.25">
      <c r="A644" s="24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5"/>
    </row>
    <row r="645" spans="1:12" x14ac:dyDescent="0.25">
      <c r="A645" s="24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5"/>
    </row>
    <row r="646" spans="1:12" x14ac:dyDescent="0.25">
      <c r="A646" s="24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5"/>
    </row>
    <row r="647" spans="1:12" x14ac:dyDescent="0.25">
      <c r="A647" s="24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5"/>
    </row>
    <row r="648" spans="1:12" x14ac:dyDescent="0.25">
      <c r="A648" s="24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5"/>
    </row>
    <row r="649" spans="1:12" x14ac:dyDescent="0.25">
      <c r="A649" s="24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5"/>
    </row>
    <row r="650" spans="1:12" x14ac:dyDescent="0.25">
      <c r="A650" s="24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5"/>
    </row>
    <row r="651" spans="1:12" x14ac:dyDescent="0.25">
      <c r="A651" s="24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5"/>
    </row>
    <row r="652" spans="1:12" x14ac:dyDescent="0.25">
      <c r="A652" s="24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5"/>
    </row>
    <row r="653" spans="1:12" x14ac:dyDescent="0.25">
      <c r="A653" s="24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5"/>
    </row>
    <row r="654" spans="1:12" x14ac:dyDescent="0.25">
      <c r="A654" s="24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5"/>
    </row>
    <row r="655" spans="1:12" x14ac:dyDescent="0.25">
      <c r="A655" s="24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5"/>
    </row>
    <row r="656" spans="1:12" x14ac:dyDescent="0.25">
      <c r="A656" s="24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5"/>
    </row>
    <row r="657" spans="1:12" x14ac:dyDescent="0.25">
      <c r="A657" s="24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5"/>
    </row>
    <row r="658" spans="1:12" x14ac:dyDescent="0.25">
      <c r="A658" s="24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5"/>
    </row>
    <row r="659" spans="1:12" x14ac:dyDescent="0.25">
      <c r="A659" s="24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5"/>
    </row>
    <row r="660" spans="1:12" x14ac:dyDescent="0.25">
      <c r="A660" s="24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5"/>
    </row>
    <row r="661" spans="1:12" x14ac:dyDescent="0.25">
      <c r="A661" s="24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5"/>
    </row>
    <row r="662" spans="1:12" x14ac:dyDescent="0.25">
      <c r="A662" s="24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5"/>
    </row>
    <row r="663" spans="1:12" x14ac:dyDescent="0.25">
      <c r="A663" s="24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5"/>
    </row>
    <row r="664" spans="1:12" x14ac:dyDescent="0.25">
      <c r="A664" s="24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5"/>
    </row>
    <row r="665" spans="1:12" x14ac:dyDescent="0.25">
      <c r="A665" s="24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5"/>
    </row>
    <row r="666" spans="1:12" x14ac:dyDescent="0.25">
      <c r="A666" s="24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5"/>
    </row>
    <row r="667" spans="1:12" x14ac:dyDescent="0.25">
      <c r="A667" s="24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5"/>
    </row>
    <row r="668" spans="1:12" x14ac:dyDescent="0.25">
      <c r="A668" s="24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5"/>
    </row>
    <row r="669" spans="1:12" x14ac:dyDescent="0.25">
      <c r="A669" s="24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5"/>
    </row>
    <row r="670" spans="1:12" x14ac:dyDescent="0.25">
      <c r="A670" s="24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5"/>
    </row>
    <row r="671" spans="1:12" x14ac:dyDescent="0.25">
      <c r="A671" s="24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5"/>
    </row>
    <row r="672" spans="1:12" x14ac:dyDescent="0.25">
      <c r="A672" s="24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5"/>
    </row>
    <row r="673" spans="1:12" x14ac:dyDescent="0.25">
      <c r="A673" s="24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5"/>
    </row>
    <row r="674" spans="1:12" x14ac:dyDescent="0.25">
      <c r="A674" s="24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5"/>
    </row>
    <row r="675" spans="1:12" x14ac:dyDescent="0.25">
      <c r="A675" s="24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5"/>
    </row>
    <row r="676" spans="1:12" x14ac:dyDescent="0.25">
      <c r="A676" s="24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5"/>
    </row>
    <row r="677" spans="1:12" x14ac:dyDescent="0.25">
      <c r="A677" s="24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5"/>
    </row>
    <row r="678" spans="1:12" x14ac:dyDescent="0.25">
      <c r="A678" s="24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5"/>
    </row>
    <row r="679" spans="1:12" x14ac:dyDescent="0.25">
      <c r="A679" s="24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5"/>
    </row>
    <row r="680" spans="1:12" x14ac:dyDescent="0.25">
      <c r="A680" s="24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5"/>
    </row>
    <row r="681" spans="1:12" x14ac:dyDescent="0.25">
      <c r="A681" s="24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5"/>
    </row>
    <row r="682" spans="1:12" x14ac:dyDescent="0.25">
      <c r="A682" s="24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5"/>
    </row>
    <row r="683" spans="1:12" x14ac:dyDescent="0.25">
      <c r="A683" s="24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5"/>
    </row>
    <row r="684" spans="1:12" x14ac:dyDescent="0.25">
      <c r="A684" s="24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5"/>
    </row>
    <row r="685" spans="1:12" x14ac:dyDescent="0.25">
      <c r="A685" s="24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5"/>
    </row>
    <row r="686" spans="1:12" x14ac:dyDescent="0.25">
      <c r="A686" s="24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5"/>
    </row>
    <row r="687" spans="1:12" x14ac:dyDescent="0.25">
      <c r="A687" s="24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5"/>
    </row>
    <row r="688" spans="1:12" x14ac:dyDescent="0.25">
      <c r="A688" s="24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5"/>
    </row>
    <row r="689" spans="1:12" x14ac:dyDescent="0.25">
      <c r="A689" s="24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5"/>
    </row>
    <row r="690" spans="1:12" x14ac:dyDescent="0.25">
      <c r="A690" s="24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5"/>
    </row>
    <row r="691" spans="1:12" x14ac:dyDescent="0.25">
      <c r="A691" s="24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5"/>
    </row>
    <row r="692" spans="1:12" x14ac:dyDescent="0.25">
      <c r="A692" s="24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5"/>
    </row>
    <row r="693" spans="1:12" x14ac:dyDescent="0.25">
      <c r="A693" s="24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5"/>
    </row>
    <row r="694" spans="1:12" x14ac:dyDescent="0.25">
      <c r="A694" s="24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5"/>
    </row>
    <row r="695" spans="1:12" x14ac:dyDescent="0.25">
      <c r="A695" s="24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5"/>
    </row>
    <row r="696" spans="1:12" x14ac:dyDescent="0.25">
      <c r="A696" s="24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5"/>
    </row>
    <row r="697" spans="1:12" x14ac:dyDescent="0.25">
      <c r="A697" s="24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5"/>
    </row>
    <row r="698" spans="1:12" x14ac:dyDescent="0.25">
      <c r="A698" s="24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5"/>
    </row>
    <row r="699" spans="1:12" x14ac:dyDescent="0.25">
      <c r="A699" s="24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5"/>
    </row>
    <row r="700" spans="1:12" x14ac:dyDescent="0.25">
      <c r="A700" s="24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5"/>
    </row>
    <row r="701" spans="1:12" x14ac:dyDescent="0.25">
      <c r="A701" s="24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5"/>
    </row>
    <row r="702" spans="1:12" x14ac:dyDescent="0.25">
      <c r="A702" s="24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5"/>
    </row>
    <row r="703" spans="1:12" x14ac:dyDescent="0.25">
      <c r="A703" s="24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5"/>
    </row>
    <row r="704" spans="1:12" x14ac:dyDescent="0.25">
      <c r="A704" s="24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5"/>
    </row>
    <row r="705" spans="1:12" x14ac:dyDescent="0.25">
      <c r="A705" s="24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5"/>
    </row>
    <row r="706" spans="1:12" x14ac:dyDescent="0.25">
      <c r="A706" s="24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5"/>
    </row>
    <row r="707" spans="1:12" x14ac:dyDescent="0.25">
      <c r="A707" s="24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5"/>
    </row>
    <row r="708" spans="1:12" x14ac:dyDescent="0.25">
      <c r="A708" s="24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5"/>
    </row>
    <row r="709" spans="1:12" x14ac:dyDescent="0.25">
      <c r="A709" s="24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5"/>
    </row>
    <row r="710" spans="1:12" x14ac:dyDescent="0.25">
      <c r="A710" s="24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5"/>
    </row>
    <row r="711" spans="1:12" x14ac:dyDescent="0.25">
      <c r="A711" s="24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5"/>
    </row>
    <row r="712" spans="1:12" x14ac:dyDescent="0.25">
      <c r="A712" s="24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5"/>
    </row>
    <row r="713" spans="1:12" x14ac:dyDescent="0.25">
      <c r="A713" s="24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5"/>
    </row>
    <row r="714" spans="1:12" x14ac:dyDescent="0.25">
      <c r="A714" s="24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5"/>
    </row>
    <row r="715" spans="1:12" x14ac:dyDescent="0.25">
      <c r="A715" s="24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5"/>
    </row>
    <row r="716" spans="1:12" x14ac:dyDescent="0.25">
      <c r="A716" s="24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5"/>
    </row>
    <row r="717" spans="1:12" x14ac:dyDescent="0.25">
      <c r="A717" s="24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5"/>
    </row>
    <row r="718" spans="1:12" x14ac:dyDescent="0.25">
      <c r="A718" s="24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5"/>
    </row>
    <row r="719" spans="1:12" x14ac:dyDescent="0.25">
      <c r="A719" s="24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5"/>
    </row>
    <row r="720" spans="1:12" x14ac:dyDescent="0.25">
      <c r="A720" s="24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5"/>
    </row>
    <row r="721" spans="1:12" x14ac:dyDescent="0.25">
      <c r="A721" s="24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5"/>
    </row>
    <row r="722" spans="1:12" x14ac:dyDescent="0.25">
      <c r="A722" s="24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5"/>
    </row>
    <row r="723" spans="1:12" x14ac:dyDescent="0.25">
      <c r="A723" s="24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5"/>
    </row>
    <row r="724" spans="1:12" x14ac:dyDescent="0.25">
      <c r="A724" s="24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5"/>
    </row>
    <row r="725" spans="1:12" x14ac:dyDescent="0.25">
      <c r="A725" s="24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5"/>
    </row>
    <row r="726" spans="1:12" x14ac:dyDescent="0.25">
      <c r="A726" s="24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5"/>
    </row>
    <row r="727" spans="1:12" x14ac:dyDescent="0.25">
      <c r="A727" s="24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5"/>
    </row>
    <row r="728" spans="1:12" x14ac:dyDescent="0.25">
      <c r="A728" s="24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5"/>
    </row>
    <row r="729" spans="1:12" x14ac:dyDescent="0.25">
      <c r="A729" s="24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5"/>
    </row>
    <row r="730" spans="1:12" x14ac:dyDescent="0.25">
      <c r="A730" s="24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5"/>
    </row>
    <row r="731" spans="1:12" x14ac:dyDescent="0.25">
      <c r="A731" s="24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5"/>
    </row>
    <row r="732" spans="1:12" x14ac:dyDescent="0.25">
      <c r="A732" s="24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5"/>
    </row>
    <row r="733" spans="1:12" x14ac:dyDescent="0.25">
      <c r="A733" s="24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5"/>
    </row>
    <row r="734" spans="1:12" x14ac:dyDescent="0.25">
      <c r="A734" s="24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5"/>
    </row>
    <row r="735" spans="1:12" x14ac:dyDescent="0.25">
      <c r="A735" s="24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5"/>
    </row>
    <row r="736" spans="1:12" x14ac:dyDescent="0.25">
      <c r="A736" s="24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5"/>
    </row>
    <row r="737" spans="1:12" x14ac:dyDescent="0.25">
      <c r="A737" s="24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5"/>
    </row>
    <row r="738" spans="1:12" x14ac:dyDescent="0.25">
      <c r="A738" s="24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5"/>
    </row>
    <row r="739" spans="1:12" x14ac:dyDescent="0.25">
      <c r="A739" s="24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5"/>
    </row>
    <row r="740" spans="1:12" x14ac:dyDescent="0.25">
      <c r="A740" s="24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5"/>
    </row>
    <row r="741" spans="1:12" x14ac:dyDescent="0.25">
      <c r="A741" s="24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5"/>
    </row>
    <row r="742" spans="1:12" x14ac:dyDescent="0.25">
      <c r="A742" s="24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5"/>
    </row>
    <row r="743" spans="1:12" x14ac:dyDescent="0.25">
      <c r="A743" s="24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5"/>
    </row>
    <row r="744" spans="1:12" x14ac:dyDescent="0.25">
      <c r="A744" s="24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5"/>
    </row>
    <row r="745" spans="1:12" x14ac:dyDescent="0.25">
      <c r="A745" s="24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5"/>
    </row>
    <row r="746" spans="1:12" x14ac:dyDescent="0.25">
      <c r="A746" s="24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5"/>
    </row>
    <row r="747" spans="1:12" x14ac:dyDescent="0.25">
      <c r="A747" s="24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5"/>
    </row>
    <row r="748" spans="1:12" x14ac:dyDescent="0.25">
      <c r="A748" s="24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5"/>
    </row>
    <row r="749" spans="1:12" x14ac:dyDescent="0.25">
      <c r="A749" s="24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5"/>
    </row>
    <row r="750" spans="1:12" x14ac:dyDescent="0.25">
      <c r="A750" s="24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5"/>
    </row>
    <row r="751" spans="1:12" x14ac:dyDescent="0.25">
      <c r="A751" s="24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5"/>
    </row>
    <row r="752" spans="1:12" x14ac:dyDescent="0.25">
      <c r="A752" s="24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5"/>
    </row>
    <row r="753" spans="1:12" x14ac:dyDescent="0.25">
      <c r="A753" s="24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5"/>
    </row>
    <row r="754" spans="1:12" x14ac:dyDescent="0.25">
      <c r="A754" s="24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5"/>
    </row>
    <row r="755" spans="1:12" x14ac:dyDescent="0.25">
      <c r="A755" s="24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5"/>
    </row>
    <row r="756" spans="1:12" x14ac:dyDescent="0.25">
      <c r="A756" s="24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5"/>
    </row>
    <row r="757" spans="1:12" x14ac:dyDescent="0.25">
      <c r="A757" s="24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5"/>
    </row>
    <row r="758" spans="1:12" x14ac:dyDescent="0.25">
      <c r="A758" s="24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5"/>
    </row>
    <row r="759" spans="1:12" x14ac:dyDescent="0.25">
      <c r="A759" s="24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5"/>
    </row>
    <row r="760" spans="1:12" x14ac:dyDescent="0.25">
      <c r="A760" s="24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5"/>
    </row>
    <row r="761" spans="1:12" x14ac:dyDescent="0.25">
      <c r="A761" s="24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5"/>
    </row>
    <row r="762" spans="1:12" x14ac:dyDescent="0.25">
      <c r="A762" s="24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5"/>
    </row>
    <row r="763" spans="1:12" x14ac:dyDescent="0.25">
      <c r="A763" s="24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5"/>
    </row>
    <row r="764" spans="1:12" x14ac:dyDescent="0.25">
      <c r="A764" s="24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5"/>
    </row>
    <row r="765" spans="1:12" x14ac:dyDescent="0.25">
      <c r="A765" s="24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5"/>
    </row>
    <row r="766" spans="1:12" x14ac:dyDescent="0.25">
      <c r="A766" s="24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5"/>
    </row>
    <row r="767" spans="1:12" x14ac:dyDescent="0.25">
      <c r="A767" s="24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5"/>
    </row>
    <row r="768" spans="1:12" x14ac:dyDescent="0.25">
      <c r="A768" s="24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5"/>
    </row>
    <row r="769" spans="1:12" x14ac:dyDescent="0.25">
      <c r="A769" s="24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5"/>
    </row>
    <row r="770" spans="1:12" x14ac:dyDescent="0.25">
      <c r="A770" s="24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5"/>
    </row>
    <row r="771" spans="1:12" x14ac:dyDescent="0.25">
      <c r="A771" s="24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5"/>
    </row>
    <row r="772" spans="1:12" x14ac:dyDescent="0.25">
      <c r="A772" s="24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5"/>
    </row>
    <row r="773" spans="1:12" x14ac:dyDescent="0.25">
      <c r="A773" s="24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5"/>
    </row>
    <row r="774" spans="1:12" x14ac:dyDescent="0.25">
      <c r="A774" s="24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5"/>
    </row>
    <row r="775" spans="1:12" x14ac:dyDescent="0.25">
      <c r="A775" s="24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5"/>
    </row>
    <row r="776" spans="1:12" x14ac:dyDescent="0.25">
      <c r="A776" s="24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5"/>
    </row>
    <row r="777" spans="1:12" x14ac:dyDescent="0.25">
      <c r="A777" s="24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5"/>
    </row>
    <row r="778" spans="1:12" x14ac:dyDescent="0.25">
      <c r="A778" s="24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5"/>
    </row>
    <row r="779" spans="1:12" x14ac:dyDescent="0.25">
      <c r="A779" s="24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5"/>
    </row>
    <row r="780" spans="1:12" x14ac:dyDescent="0.25">
      <c r="A780" s="24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5"/>
    </row>
    <row r="781" spans="1:12" x14ac:dyDescent="0.25">
      <c r="A781" s="24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5"/>
    </row>
    <row r="782" spans="1:12" x14ac:dyDescent="0.25">
      <c r="A782" s="24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5"/>
    </row>
    <row r="783" spans="1:12" x14ac:dyDescent="0.25">
      <c r="A783" s="24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5"/>
    </row>
    <row r="784" spans="1:12" x14ac:dyDescent="0.25">
      <c r="A784" s="24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5"/>
    </row>
    <row r="785" spans="1:12" x14ac:dyDescent="0.25">
      <c r="A785" s="24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5"/>
    </row>
    <row r="786" spans="1:12" x14ac:dyDescent="0.25">
      <c r="A786" s="24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5"/>
    </row>
    <row r="787" spans="1:12" x14ac:dyDescent="0.25">
      <c r="A787" s="24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5"/>
    </row>
    <row r="788" spans="1:12" x14ac:dyDescent="0.25">
      <c r="A788" s="24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5"/>
    </row>
    <row r="789" spans="1:12" x14ac:dyDescent="0.25">
      <c r="A789" s="24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5"/>
    </row>
    <row r="790" spans="1:12" x14ac:dyDescent="0.25">
      <c r="A790" s="24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5"/>
    </row>
    <row r="791" spans="1:12" x14ac:dyDescent="0.25">
      <c r="A791" s="24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5"/>
    </row>
    <row r="792" spans="1:12" x14ac:dyDescent="0.25">
      <c r="A792" s="24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5"/>
    </row>
    <row r="793" spans="1:12" x14ac:dyDescent="0.25">
      <c r="A793" s="24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5"/>
    </row>
    <row r="794" spans="1:12" x14ac:dyDescent="0.25">
      <c r="A794" s="24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5"/>
    </row>
    <row r="795" spans="1:12" x14ac:dyDescent="0.25">
      <c r="A795" s="24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5"/>
    </row>
    <row r="796" spans="1:12" x14ac:dyDescent="0.25">
      <c r="A796" s="24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5"/>
    </row>
    <row r="797" spans="1:12" x14ac:dyDescent="0.25">
      <c r="A797" s="24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5"/>
    </row>
    <row r="798" spans="1:12" x14ac:dyDescent="0.25">
      <c r="A798" s="24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5"/>
    </row>
    <row r="799" spans="1:12" x14ac:dyDescent="0.25">
      <c r="A799" s="24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5"/>
    </row>
    <row r="800" spans="1:12" x14ac:dyDescent="0.25">
      <c r="A800" s="24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5"/>
    </row>
    <row r="801" spans="1:12" x14ac:dyDescent="0.25">
      <c r="A801" s="24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5"/>
    </row>
    <row r="802" spans="1:12" x14ac:dyDescent="0.25">
      <c r="A802" s="24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5"/>
    </row>
    <row r="803" spans="1:12" x14ac:dyDescent="0.25">
      <c r="A803" s="24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5"/>
    </row>
    <row r="804" spans="1:12" x14ac:dyDescent="0.25">
      <c r="A804" s="24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5"/>
    </row>
    <row r="805" spans="1:12" x14ac:dyDescent="0.25">
      <c r="A805" s="24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5"/>
    </row>
    <row r="806" spans="1:12" x14ac:dyDescent="0.25">
      <c r="A806" s="24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5"/>
    </row>
    <row r="807" spans="1:12" x14ac:dyDescent="0.25">
      <c r="A807" s="24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5"/>
    </row>
    <row r="808" spans="1:12" x14ac:dyDescent="0.25">
      <c r="A808" s="24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5"/>
    </row>
    <row r="809" spans="1:12" x14ac:dyDescent="0.25">
      <c r="A809" s="24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5"/>
    </row>
    <row r="810" spans="1:12" x14ac:dyDescent="0.25">
      <c r="A810" s="24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5"/>
    </row>
    <row r="811" spans="1:12" x14ac:dyDescent="0.25">
      <c r="A811" s="24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5"/>
    </row>
    <row r="812" spans="1:12" x14ac:dyDescent="0.25">
      <c r="A812" s="24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5"/>
    </row>
    <row r="813" spans="1:12" x14ac:dyDescent="0.25">
      <c r="A813" s="24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5"/>
    </row>
    <row r="814" spans="1:12" x14ac:dyDescent="0.25">
      <c r="A814" s="24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5"/>
    </row>
    <row r="815" spans="1:12" x14ac:dyDescent="0.25">
      <c r="A815" s="24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5"/>
    </row>
    <row r="816" spans="1:12" x14ac:dyDescent="0.25">
      <c r="A816" s="24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5"/>
    </row>
    <row r="817" spans="1:12" x14ac:dyDescent="0.25">
      <c r="A817" s="24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5"/>
    </row>
    <row r="818" spans="1:12" x14ac:dyDescent="0.25">
      <c r="A818" s="24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5"/>
    </row>
    <row r="819" spans="1:12" x14ac:dyDescent="0.25">
      <c r="A819" s="24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5"/>
    </row>
    <row r="820" spans="1:12" x14ac:dyDescent="0.25">
      <c r="A820" s="24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5"/>
    </row>
    <row r="821" spans="1:12" x14ac:dyDescent="0.25">
      <c r="A821" s="24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5"/>
    </row>
    <row r="822" spans="1:12" x14ac:dyDescent="0.25">
      <c r="A822" s="24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5"/>
    </row>
    <row r="823" spans="1:12" x14ac:dyDescent="0.25">
      <c r="A823" s="24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5"/>
    </row>
    <row r="824" spans="1:12" x14ac:dyDescent="0.25">
      <c r="A824" s="24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5"/>
    </row>
    <row r="825" spans="1:12" x14ac:dyDescent="0.25">
      <c r="A825" s="24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5"/>
    </row>
    <row r="826" spans="1:12" x14ac:dyDescent="0.25">
      <c r="A826" s="24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5"/>
    </row>
    <row r="827" spans="1:12" x14ac:dyDescent="0.25">
      <c r="A827" s="24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5"/>
    </row>
    <row r="828" spans="1:12" x14ac:dyDescent="0.25">
      <c r="A828" s="24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5"/>
    </row>
    <row r="829" spans="1:12" x14ac:dyDescent="0.25">
      <c r="A829" s="24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5"/>
    </row>
    <row r="830" spans="1:12" x14ac:dyDescent="0.25">
      <c r="A830" s="24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5"/>
    </row>
    <row r="831" spans="1:12" x14ac:dyDescent="0.25">
      <c r="A831" s="24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5"/>
    </row>
    <row r="832" spans="1:12" x14ac:dyDescent="0.25">
      <c r="A832" s="24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5"/>
    </row>
    <row r="833" spans="1:12" x14ac:dyDescent="0.25">
      <c r="A833" s="24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5"/>
    </row>
    <row r="834" spans="1:12" x14ac:dyDescent="0.25">
      <c r="A834" s="24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5"/>
    </row>
    <row r="835" spans="1:12" x14ac:dyDescent="0.25">
      <c r="A835" s="24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5"/>
    </row>
    <row r="836" spans="1:12" x14ac:dyDescent="0.25">
      <c r="A836" s="24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5"/>
    </row>
    <row r="837" spans="1:12" x14ac:dyDescent="0.25">
      <c r="A837" s="24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5"/>
    </row>
    <row r="838" spans="1:12" x14ac:dyDescent="0.25">
      <c r="A838" s="24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5"/>
    </row>
    <row r="839" spans="1:12" x14ac:dyDescent="0.25">
      <c r="A839" s="24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5"/>
    </row>
    <row r="840" spans="1:12" x14ac:dyDescent="0.25">
      <c r="A840" s="24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5"/>
    </row>
    <row r="841" spans="1:12" x14ac:dyDescent="0.25">
      <c r="A841" s="24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5"/>
    </row>
    <row r="842" spans="1:12" x14ac:dyDescent="0.25">
      <c r="A842" s="24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5"/>
    </row>
    <row r="843" spans="1:12" x14ac:dyDescent="0.25">
      <c r="A843" s="24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5"/>
    </row>
    <row r="844" spans="1:12" x14ac:dyDescent="0.25">
      <c r="A844" s="24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5"/>
    </row>
    <row r="845" spans="1:12" x14ac:dyDescent="0.25">
      <c r="A845" s="24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5"/>
    </row>
    <row r="846" spans="1:12" x14ac:dyDescent="0.25">
      <c r="A846" s="24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5"/>
    </row>
    <row r="847" spans="1:12" x14ac:dyDescent="0.25">
      <c r="A847" s="24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5"/>
    </row>
    <row r="848" spans="1:12" x14ac:dyDescent="0.25">
      <c r="A848" s="24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5"/>
    </row>
    <row r="849" spans="1:12" x14ac:dyDescent="0.25">
      <c r="A849" s="24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5"/>
    </row>
    <row r="850" spans="1:12" x14ac:dyDescent="0.25">
      <c r="A850" s="24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5"/>
    </row>
    <row r="851" spans="1:12" x14ac:dyDescent="0.25">
      <c r="A851" s="24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5"/>
    </row>
    <row r="852" spans="1:12" x14ac:dyDescent="0.25">
      <c r="A852" s="24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5"/>
    </row>
    <row r="853" spans="1:12" x14ac:dyDescent="0.25">
      <c r="A853" s="24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5"/>
    </row>
    <row r="854" spans="1:12" x14ac:dyDescent="0.25">
      <c r="A854" s="24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5"/>
    </row>
    <row r="855" spans="1:12" x14ac:dyDescent="0.25">
      <c r="A855" s="24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5"/>
    </row>
    <row r="856" spans="1:12" x14ac:dyDescent="0.25">
      <c r="A856" s="24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5"/>
    </row>
    <row r="857" spans="1:12" x14ac:dyDescent="0.25">
      <c r="A857" s="24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5"/>
    </row>
    <row r="858" spans="1:12" x14ac:dyDescent="0.25">
      <c r="A858" s="24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5"/>
    </row>
    <row r="859" spans="1:12" x14ac:dyDescent="0.25">
      <c r="A859" s="24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5"/>
    </row>
    <row r="860" spans="1:12" x14ac:dyDescent="0.25">
      <c r="A860" s="24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5"/>
    </row>
    <row r="861" spans="1:12" x14ac:dyDescent="0.25">
      <c r="A861" s="24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5"/>
    </row>
    <row r="862" spans="1:12" x14ac:dyDescent="0.25">
      <c r="A862" s="24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5"/>
    </row>
    <row r="863" spans="1:12" x14ac:dyDescent="0.25">
      <c r="A863" s="24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5"/>
    </row>
    <row r="864" spans="1:12" x14ac:dyDescent="0.25">
      <c r="A864" s="24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5"/>
    </row>
    <row r="865" spans="1:12" x14ac:dyDescent="0.25">
      <c r="A865" s="24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5"/>
    </row>
    <row r="866" spans="1:12" x14ac:dyDescent="0.25">
      <c r="A866" s="24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5"/>
    </row>
    <row r="867" spans="1:12" x14ac:dyDescent="0.25">
      <c r="A867" s="24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5"/>
    </row>
    <row r="868" spans="1:12" x14ac:dyDescent="0.25">
      <c r="A868" s="24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5"/>
    </row>
    <row r="869" spans="1:12" x14ac:dyDescent="0.25">
      <c r="A869" s="24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5"/>
    </row>
    <row r="870" spans="1:12" x14ac:dyDescent="0.25">
      <c r="A870" s="24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5"/>
    </row>
    <row r="871" spans="1:12" x14ac:dyDescent="0.25">
      <c r="A871" s="24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5"/>
    </row>
    <row r="872" spans="1:12" x14ac:dyDescent="0.25">
      <c r="A872" s="24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5"/>
    </row>
    <row r="873" spans="1:12" x14ac:dyDescent="0.25">
      <c r="A873" s="24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5"/>
    </row>
    <row r="874" spans="1:12" x14ac:dyDescent="0.25">
      <c r="A874" s="24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5"/>
    </row>
    <row r="875" spans="1:12" x14ac:dyDescent="0.25">
      <c r="A875" s="24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5"/>
    </row>
    <row r="876" spans="1:12" x14ac:dyDescent="0.25">
      <c r="A876" s="24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5"/>
    </row>
    <row r="877" spans="1:12" x14ac:dyDescent="0.25">
      <c r="A877" s="24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5"/>
    </row>
    <row r="878" spans="1:12" x14ac:dyDescent="0.25">
      <c r="A878" s="24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5"/>
    </row>
    <row r="879" spans="1:12" x14ac:dyDescent="0.25">
      <c r="A879" s="24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5"/>
    </row>
    <row r="880" spans="1:12" x14ac:dyDescent="0.25">
      <c r="A880" s="24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5"/>
    </row>
    <row r="881" spans="1:12" x14ac:dyDescent="0.25">
      <c r="A881" s="24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5"/>
    </row>
    <row r="882" spans="1:12" x14ac:dyDescent="0.25">
      <c r="A882" s="24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5"/>
    </row>
    <row r="883" spans="1:12" x14ac:dyDescent="0.25">
      <c r="A883" s="24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5"/>
    </row>
    <row r="884" spans="1:12" x14ac:dyDescent="0.25">
      <c r="A884" s="24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5"/>
    </row>
    <row r="885" spans="1:12" x14ac:dyDescent="0.25">
      <c r="A885" s="24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5"/>
    </row>
    <row r="886" spans="1:12" x14ac:dyDescent="0.25">
      <c r="A886" s="24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5"/>
    </row>
    <row r="887" spans="1:12" x14ac:dyDescent="0.25">
      <c r="A887" s="24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5"/>
    </row>
    <row r="888" spans="1:12" x14ac:dyDescent="0.25">
      <c r="A888" s="24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5"/>
    </row>
    <row r="889" spans="1:12" x14ac:dyDescent="0.25">
      <c r="A889" s="24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5"/>
    </row>
    <row r="890" spans="1:12" x14ac:dyDescent="0.25">
      <c r="A890" s="24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5"/>
    </row>
    <row r="891" spans="1:12" x14ac:dyDescent="0.25">
      <c r="A891" s="24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5"/>
    </row>
    <row r="892" spans="1:12" x14ac:dyDescent="0.25">
      <c r="A892" s="24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5"/>
    </row>
    <row r="893" spans="1:12" x14ac:dyDescent="0.25">
      <c r="A893" s="24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5"/>
    </row>
    <row r="894" spans="1:12" x14ac:dyDescent="0.25">
      <c r="A894" s="24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5"/>
    </row>
    <row r="895" spans="1:12" x14ac:dyDescent="0.25">
      <c r="A895" s="24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5"/>
    </row>
    <row r="896" spans="1:12" x14ac:dyDescent="0.25">
      <c r="A896" s="24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5"/>
    </row>
    <row r="897" spans="1:12" x14ac:dyDescent="0.25">
      <c r="A897" s="24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5"/>
    </row>
    <row r="898" spans="1:12" x14ac:dyDescent="0.25">
      <c r="A898" s="24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5"/>
    </row>
    <row r="899" spans="1:12" x14ac:dyDescent="0.25">
      <c r="A899" s="24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5"/>
    </row>
    <row r="900" spans="1:12" x14ac:dyDescent="0.25">
      <c r="A900" s="24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5"/>
    </row>
    <row r="901" spans="1:12" x14ac:dyDescent="0.25">
      <c r="A901" s="24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5"/>
    </row>
    <row r="902" spans="1:12" x14ac:dyDescent="0.25">
      <c r="A902" s="24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5"/>
    </row>
    <row r="903" spans="1:12" x14ac:dyDescent="0.25">
      <c r="A903" s="24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5"/>
    </row>
    <row r="904" spans="1:12" x14ac:dyDescent="0.25">
      <c r="A904" s="24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5"/>
    </row>
    <row r="905" spans="1:12" x14ac:dyDescent="0.25">
      <c r="A905" s="24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5"/>
    </row>
    <row r="906" spans="1:12" x14ac:dyDescent="0.25">
      <c r="A906" s="24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5"/>
    </row>
    <row r="907" spans="1:12" x14ac:dyDescent="0.25">
      <c r="A907" s="24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5"/>
    </row>
    <row r="908" spans="1:12" x14ac:dyDescent="0.25">
      <c r="A908" s="24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5"/>
    </row>
    <row r="909" spans="1:12" x14ac:dyDescent="0.25">
      <c r="A909" s="24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5"/>
    </row>
    <row r="910" spans="1:12" x14ac:dyDescent="0.25">
      <c r="A910" s="24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5"/>
    </row>
    <row r="911" spans="1:12" x14ac:dyDescent="0.25">
      <c r="A911" s="24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5"/>
    </row>
    <row r="912" spans="1:12" x14ac:dyDescent="0.25">
      <c r="A912" s="24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5"/>
    </row>
    <row r="913" spans="1:12" x14ac:dyDescent="0.25">
      <c r="A913" s="24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5"/>
    </row>
    <row r="914" spans="1:12" x14ac:dyDescent="0.25">
      <c r="A914" s="24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5"/>
    </row>
    <row r="915" spans="1:12" x14ac:dyDescent="0.25">
      <c r="A915" s="24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5"/>
    </row>
    <row r="916" spans="1:12" x14ac:dyDescent="0.25">
      <c r="A916" s="24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5"/>
    </row>
    <row r="917" spans="1:12" x14ac:dyDescent="0.25">
      <c r="A917" s="24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5"/>
    </row>
    <row r="918" spans="1:12" x14ac:dyDescent="0.25">
      <c r="A918" s="24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5"/>
    </row>
    <row r="919" spans="1:12" x14ac:dyDescent="0.25">
      <c r="A919" s="24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5"/>
    </row>
    <row r="920" spans="1:12" x14ac:dyDescent="0.25">
      <c r="A920" s="24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5"/>
    </row>
    <row r="921" spans="1:12" x14ac:dyDescent="0.25">
      <c r="A921" s="24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5"/>
    </row>
    <row r="922" spans="1:12" x14ac:dyDescent="0.25">
      <c r="A922" s="24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5"/>
    </row>
    <row r="923" spans="1:12" x14ac:dyDescent="0.25">
      <c r="A923" s="24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5"/>
    </row>
    <row r="924" spans="1:12" x14ac:dyDescent="0.25">
      <c r="A924" s="24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5"/>
    </row>
    <row r="925" spans="1:12" x14ac:dyDescent="0.25">
      <c r="A925" s="24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5"/>
    </row>
    <row r="926" spans="1:12" x14ac:dyDescent="0.25">
      <c r="A926" s="24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5"/>
    </row>
    <row r="927" spans="1:12" x14ac:dyDescent="0.25">
      <c r="A927" s="24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5"/>
    </row>
    <row r="928" spans="1:12" x14ac:dyDescent="0.25">
      <c r="A928" s="24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5"/>
    </row>
    <row r="929" spans="1:12" x14ac:dyDescent="0.25">
      <c r="A929" s="24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5"/>
    </row>
    <row r="930" spans="1:12" x14ac:dyDescent="0.25">
      <c r="A930" s="24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5"/>
    </row>
    <row r="931" spans="1:12" x14ac:dyDescent="0.25">
      <c r="A931" s="24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5"/>
    </row>
    <row r="932" spans="1:12" x14ac:dyDescent="0.25">
      <c r="A932" s="24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5"/>
    </row>
    <row r="933" spans="1:12" x14ac:dyDescent="0.25">
      <c r="A933" s="24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5"/>
    </row>
    <row r="934" spans="1:12" x14ac:dyDescent="0.25">
      <c r="A934" s="24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5"/>
    </row>
    <row r="935" spans="1:12" x14ac:dyDescent="0.25">
      <c r="A935" s="24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5"/>
    </row>
    <row r="936" spans="1:12" x14ac:dyDescent="0.25">
      <c r="A936" s="24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5"/>
    </row>
    <row r="937" spans="1:12" x14ac:dyDescent="0.25">
      <c r="A937" s="24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5"/>
    </row>
    <row r="938" spans="1:12" x14ac:dyDescent="0.25">
      <c r="A938" s="24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5"/>
    </row>
    <row r="939" spans="1:12" x14ac:dyDescent="0.25">
      <c r="A939" s="24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5"/>
    </row>
    <row r="940" spans="1:12" x14ac:dyDescent="0.25">
      <c r="A940" s="24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5"/>
    </row>
    <row r="941" spans="1:12" x14ac:dyDescent="0.25">
      <c r="A941" s="24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5"/>
    </row>
    <row r="942" spans="1:12" x14ac:dyDescent="0.25">
      <c r="A942" s="24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5"/>
    </row>
    <row r="943" spans="1:12" x14ac:dyDescent="0.25">
      <c r="A943" s="24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5"/>
    </row>
    <row r="944" spans="1:12" x14ac:dyDescent="0.25">
      <c r="A944" s="24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5"/>
    </row>
    <row r="945" spans="1:12" x14ac:dyDescent="0.25">
      <c r="A945" s="24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5"/>
    </row>
    <row r="946" spans="1:12" x14ac:dyDescent="0.25">
      <c r="A946" s="24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5"/>
    </row>
    <row r="947" spans="1:12" x14ac:dyDescent="0.25">
      <c r="A947" s="24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5"/>
    </row>
    <row r="948" spans="1:12" x14ac:dyDescent="0.25">
      <c r="A948" s="24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5"/>
    </row>
    <row r="949" spans="1:12" x14ac:dyDescent="0.25">
      <c r="A949" s="24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5"/>
    </row>
    <row r="950" spans="1:12" x14ac:dyDescent="0.25">
      <c r="A950" s="24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5"/>
    </row>
    <row r="951" spans="1:12" x14ac:dyDescent="0.25">
      <c r="A951" s="24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5"/>
    </row>
    <row r="952" spans="1:12" x14ac:dyDescent="0.25">
      <c r="A952" s="24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5"/>
    </row>
    <row r="953" spans="1:12" x14ac:dyDescent="0.25">
      <c r="A953" s="24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5"/>
    </row>
    <row r="954" spans="1:12" x14ac:dyDescent="0.25">
      <c r="A954" s="24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5"/>
    </row>
    <row r="955" spans="1:12" x14ac:dyDescent="0.25">
      <c r="A955" s="24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5"/>
    </row>
    <row r="956" spans="1:12" x14ac:dyDescent="0.25">
      <c r="A956" s="24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5"/>
    </row>
    <row r="957" spans="1:12" x14ac:dyDescent="0.25">
      <c r="A957" s="24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5"/>
    </row>
    <row r="958" spans="1:12" x14ac:dyDescent="0.25">
      <c r="A958" s="24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5"/>
    </row>
    <row r="959" spans="1:12" x14ac:dyDescent="0.25">
      <c r="A959" s="24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5"/>
    </row>
    <row r="960" spans="1:12" x14ac:dyDescent="0.25">
      <c r="A960" s="24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5"/>
    </row>
    <row r="961" spans="1:12" x14ac:dyDescent="0.25">
      <c r="A961" s="24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5"/>
    </row>
    <row r="962" spans="1:12" x14ac:dyDescent="0.25">
      <c r="A962" s="24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5"/>
    </row>
    <row r="963" spans="1:12" x14ac:dyDescent="0.25">
      <c r="A963" s="24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5"/>
    </row>
    <row r="964" spans="1:12" x14ac:dyDescent="0.25">
      <c r="A964" s="24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5"/>
    </row>
    <row r="965" spans="1:12" x14ac:dyDescent="0.25">
      <c r="A965" s="24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5"/>
    </row>
    <row r="966" spans="1:12" x14ac:dyDescent="0.25">
      <c r="A966" s="24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5"/>
    </row>
    <row r="967" spans="1:12" x14ac:dyDescent="0.25">
      <c r="A967" s="24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5"/>
    </row>
    <row r="968" spans="1:12" x14ac:dyDescent="0.25">
      <c r="A968" s="24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5"/>
    </row>
    <row r="969" spans="1:12" x14ac:dyDescent="0.25">
      <c r="A969" s="24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5"/>
    </row>
    <row r="970" spans="1:12" x14ac:dyDescent="0.25">
      <c r="A970" s="24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5"/>
    </row>
    <row r="971" spans="1:12" x14ac:dyDescent="0.25">
      <c r="A971" s="24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5"/>
    </row>
    <row r="972" spans="1:12" x14ac:dyDescent="0.25">
      <c r="A972" s="24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5"/>
    </row>
    <row r="973" spans="1:12" x14ac:dyDescent="0.25">
      <c r="A973" s="24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5"/>
    </row>
    <row r="974" spans="1:12" x14ac:dyDescent="0.25">
      <c r="A974" s="24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5"/>
    </row>
    <row r="975" spans="1:12" x14ac:dyDescent="0.25">
      <c r="A975" s="24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5"/>
    </row>
    <row r="976" spans="1:12" x14ac:dyDescent="0.25">
      <c r="A976" s="24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5"/>
    </row>
    <row r="977" spans="1:12" x14ac:dyDescent="0.25">
      <c r="A977" s="24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5"/>
    </row>
    <row r="978" spans="1:12" x14ac:dyDescent="0.25">
      <c r="A978" s="24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5"/>
    </row>
    <row r="979" spans="1:12" x14ac:dyDescent="0.25">
      <c r="A979" s="24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5"/>
    </row>
    <row r="980" spans="1:12" x14ac:dyDescent="0.25">
      <c r="A980" s="24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5"/>
    </row>
    <row r="981" spans="1:12" x14ac:dyDescent="0.25">
      <c r="A981" s="24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5"/>
    </row>
    <row r="982" spans="1:12" x14ac:dyDescent="0.25">
      <c r="A982" s="24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5"/>
    </row>
    <row r="983" spans="1:12" x14ac:dyDescent="0.25">
      <c r="A983" s="24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5"/>
    </row>
    <row r="984" spans="1:12" x14ac:dyDescent="0.25">
      <c r="A984" s="24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5"/>
    </row>
    <row r="985" spans="1:12" x14ac:dyDescent="0.25">
      <c r="A985" s="24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5"/>
    </row>
    <row r="986" spans="1:12" x14ac:dyDescent="0.25">
      <c r="A986" s="24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5"/>
    </row>
    <row r="987" spans="1:12" x14ac:dyDescent="0.25">
      <c r="A987" s="24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5"/>
    </row>
    <row r="988" spans="1:12" x14ac:dyDescent="0.25">
      <c r="A988" s="24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5"/>
    </row>
    <row r="989" spans="1:12" x14ac:dyDescent="0.25">
      <c r="A989" s="24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5"/>
    </row>
    <row r="990" spans="1:12" x14ac:dyDescent="0.25">
      <c r="A990" s="24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5"/>
    </row>
    <row r="991" spans="1:12" x14ac:dyDescent="0.25">
      <c r="A991" s="24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5"/>
    </row>
    <row r="992" spans="1:12" x14ac:dyDescent="0.25">
      <c r="A992" s="24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5"/>
    </row>
    <row r="993" spans="1:12" x14ac:dyDescent="0.25">
      <c r="A993" s="24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5"/>
    </row>
    <row r="994" spans="1:12" x14ac:dyDescent="0.25">
      <c r="A994" s="24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5"/>
    </row>
    <row r="995" spans="1:12" x14ac:dyDescent="0.25">
      <c r="A995" s="24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5"/>
    </row>
    <row r="996" spans="1:12" x14ac:dyDescent="0.25">
      <c r="A996" s="24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5"/>
    </row>
    <row r="997" spans="1:12" x14ac:dyDescent="0.25">
      <c r="A997" s="24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5"/>
    </row>
    <row r="998" spans="1:12" x14ac:dyDescent="0.25">
      <c r="A998" s="24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5"/>
    </row>
    <row r="999" spans="1:12" x14ac:dyDescent="0.25">
      <c r="A999" s="24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5"/>
    </row>
    <row r="1000" spans="1:12" x14ac:dyDescent="0.25">
      <c r="A1000" s="24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5"/>
    </row>
    <row r="1001" spans="1:12" x14ac:dyDescent="0.25">
      <c r="A1001" s="24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5"/>
    </row>
    <row r="1002" spans="1:12" x14ac:dyDescent="0.25">
      <c r="A1002" s="24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5"/>
    </row>
    <row r="1003" spans="1:12" x14ac:dyDescent="0.25">
      <c r="A1003" s="24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5"/>
    </row>
    <row r="1004" spans="1:12" x14ac:dyDescent="0.25">
      <c r="A1004" s="24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5"/>
    </row>
    <row r="1005" spans="1:12" x14ac:dyDescent="0.25">
      <c r="A1005" s="24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5"/>
    </row>
    <row r="1006" spans="1:12" x14ac:dyDescent="0.25">
      <c r="A1006" s="24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5"/>
    </row>
    <row r="1007" spans="1:12" x14ac:dyDescent="0.25">
      <c r="A1007" s="24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5"/>
    </row>
    <row r="1008" spans="1:12" x14ac:dyDescent="0.25">
      <c r="A1008" s="24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5"/>
    </row>
    <row r="1009" spans="1:12" x14ac:dyDescent="0.25">
      <c r="A1009" s="24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5"/>
    </row>
    <row r="1010" spans="1:12" x14ac:dyDescent="0.25">
      <c r="A1010" s="24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5"/>
    </row>
    <row r="1011" spans="1:12" x14ac:dyDescent="0.25">
      <c r="A1011" s="24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5"/>
    </row>
    <row r="1012" spans="1:12" x14ac:dyDescent="0.25">
      <c r="A1012" s="24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5"/>
    </row>
    <row r="1013" spans="1:12" x14ac:dyDescent="0.25">
      <c r="A1013" s="24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5"/>
    </row>
    <row r="1014" spans="1:12" x14ac:dyDescent="0.25">
      <c r="A1014" s="24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5"/>
    </row>
    <row r="1015" spans="1:12" x14ac:dyDescent="0.25">
      <c r="A1015" s="24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5"/>
    </row>
    <row r="1016" spans="1:12" x14ac:dyDescent="0.25">
      <c r="A1016" s="24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5"/>
    </row>
    <row r="1017" spans="1:12" x14ac:dyDescent="0.25">
      <c r="A1017" s="24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5"/>
    </row>
    <row r="1018" spans="1:12" x14ac:dyDescent="0.25">
      <c r="A1018" s="24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5"/>
    </row>
    <row r="1019" spans="1:12" x14ac:dyDescent="0.25">
      <c r="A1019" s="24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5"/>
    </row>
    <row r="1020" spans="1:12" x14ac:dyDescent="0.25">
      <c r="A1020" s="24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5"/>
    </row>
    <row r="1021" spans="1:12" x14ac:dyDescent="0.25">
      <c r="A1021" s="24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5"/>
    </row>
    <row r="1022" spans="1:12" x14ac:dyDescent="0.25">
      <c r="A1022" s="24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5"/>
    </row>
    <row r="1023" spans="1:12" x14ac:dyDescent="0.25">
      <c r="A1023" s="24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5"/>
    </row>
    <row r="1024" spans="1:12" x14ac:dyDescent="0.25">
      <c r="A1024" s="24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5"/>
    </row>
    <row r="1025" spans="1:12" x14ac:dyDescent="0.25">
      <c r="A1025" s="24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5"/>
    </row>
    <row r="1026" spans="1:12" x14ac:dyDescent="0.25">
      <c r="A1026" s="24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5"/>
    </row>
    <row r="1027" spans="1:12" x14ac:dyDescent="0.25">
      <c r="A1027" s="24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5"/>
    </row>
    <row r="1028" spans="1:12" x14ac:dyDescent="0.25">
      <c r="A1028" s="24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5"/>
    </row>
    <row r="1029" spans="1:12" x14ac:dyDescent="0.25">
      <c r="A1029" s="24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5"/>
    </row>
    <row r="1030" spans="1:12" x14ac:dyDescent="0.25">
      <c r="A1030" s="24"/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5"/>
    </row>
    <row r="1031" spans="1:12" x14ac:dyDescent="0.25">
      <c r="A1031" s="24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5"/>
    </row>
    <row r="1032" spans="1:12" x14ac:dyDescent="0.25">
      <c r="A1032" s="24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5"/>
    </row>
    <row r="1033" spans="1:12" x14ac:dyDescent="0.25">
      <c r="A1033" s="24"/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5"/>
    </row>
    <row r="1034" spans="1:12" x14ac:dyDescent="0.25">
      <c r="A1034" s="24"/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5"/>
    </row>
    <row r="1035" spans="1:12" x14ac:dyDescent="0.25">
      <c r="A1035" s="24"/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5"/>
    </row>
    <row r="1036" spans="1:12" x14ac:dyDescent="0.25">
      <c r="A1036" s="24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5"/>
    </row>
    <row r="1037" spans="1:12" x14ac:dyDescent="0.25">
      <c r="A1037" s="24"/>
      <c r="B1037" s="23"/>
      <c r="C1037" s="23"/>
      <c r="D1037" s="23"/>
      <c r="E1037" s="23"/>
      <c r="F1037" s="23"/>
      <c r="G1037" s="23"/>
      <c r="H1037" s="23"/>
      <c r="I1037" s="23"/>
      <c r="J1037" s="23"/>
      <c r="K1037" s="23"/>
      <c r="L1037" s="25"/>
    </row>
    <row r="1038" spans="1:12" x14ac:dyDescent="0.25">
      <c r="A1038" s="24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5"/>
    </row>
    <row r="1039" spans="1:12" x14ac:dyDescent="0.25">
      <c r="A1039" s="24"/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25"/>
    </row>
    <row r="1040" spans="1:12" x14ac:dyDescent="0.25">
      <c r="A1040" s="24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5"/>
    </row>
    <row r="1041" spans="1:12" x14ac:dyDescent="0.25">
      <c r="A1041" s="24"/>
      <c r="B1041" s="23"/>
      <c r="C1041" s="23"/>
      <c r="D1041" s="23"/>
      <c r="E1041" s="23"/>
      <c r="F1041" s="23"/>
      <c r="G1041" s="23"/>
      <c r="H1041" s="23"/>
      <c r="I1041" s="23"/>
      <c r="J1041" s="23"/>
      <c r="K1041" s="23"/>
      <c r="L1041" s="25"/>
    </row>
    <row r="1042" spans="1:12" x14ac:dyDescent="0.25">
      <c r="A1042" s="24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5"/>
    </row>
    <row r="1043" spans="1:12" x14ac:dyDescent="0.25">
      <c r="A1043" s="24"/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5"/>
    </row>
    <row r="1044" spans="1:12" x14ac:dyDescent="0.25">
      <c r="A1044" s="24"/>
      <c r="B1044" s="23"/>
      <c r="C1044" s="23"/>
      <c r="D1044" s="23"/>
      <c r="E1044" s="23"/>
      <c r="F1044" s="23"/>
      <c r="G1044" s="23"/>
      <c r="H1044" s="23"/>
      <c r="I1044" s="23"/>
      <c r="J1044" s="23"/>
      <c r="K1044" s="23"/>
      <c r="L1044" s="25"/>
    </row>
    <row r="1045" spans="1:12" x14ac:dyDescent="0.25">
      <c r="A1045" s="24"/>
      <c r="B1045" s="23"/>
      <c r="C1045" s="23"/>
      <c r="D1045" s="23"/>
      <c r="E1045" s="23"/>
      <c r="F1045" s="23"/>
      <c r="G1045" s="23"/>
      <c r="H1045" s="23"/>
      <c r="I1045" s="23"/>
      <c r="J1045" s="23"/>
      <c r="K1045" s="23"/>
      <c r="L1045" s="25"/>
    </row>
    <row r="1046" spans="1:12" x14ac:dyDescent="0.25">
      <c r="A1046" s="24"/>
      <c r="B1046" s="23"/>
      <c r="C1046" s="23"/>
      <c r="D1046" s="23"/>
      <c r="E1046" s="23"/>
      <c r="F1046" s="23"/>
      <c r="G1046" s="23"/>
      <c r="H1046" s="23"/>
      <c r="I1046" s="23"/>
      <c r="J1046" s="23"/>
      <c r="K1046" s="23"/>
      <c r="L1046" s="25"/>
    </row>
    <row r="1047" spans="1:12" x14ac:dyDescent="0.25">
      <c r="A1047" s="24"/>
      <c r="B1047" s="23"/>
      <c r="C1047" s="23"/>
      <c r="D1047" s="23"/>
      <c r="E1047" s="23"/>
      <c r="F1047" s="23"/>
      <c r="G1047" s="23"/>
      <c r="H1047" s="23"/>
      <c r="I1047" s="23"/>
      <c r="J1047" s="23"/>
      <c r="K1047" s="23"/>
      <c r="L1047" s="25"/>
    </row>
    <row r="1048" spans="1:12" x14ac:dyDescent="0.25">
      <c r="A1048" s="24"/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5"/>
    </row>
    <row r="1049" spans="1:12" x14ac:dyDescent="0.25">
      <c r="A1049" s="24"/>
      <c r="B1049" s="23"/>
      <c r="C1049" s="23"/>
      <c r="D1049" s="23"/>
      <c r="E1049" s="23"/>
      <c r="F1049" s="23"/>
      <c r="G1049" s="23"/>
      <c r="H1049" s="23"/>
      <c r="I1049" s="23"/>
      <c r="J1049" s="23"/>
      <c r="K1049" s="23"/>
      <c r="L1049" s="25"/>
    </row>
    <row r="1050" spans="1:12" x14ac:dyDescent="0.25">
      <c r="A1050" s="24"/>
      <c r="B1050" s="23"/>
      <c r="C1050" s="23"/>
      <c r="D1050" s="23"/>
      <c r="E1050" s="23"/>
      <c r="F1050" s="23"/>
      <c r="G1050" s="23"/>
      <c r="H1050" s="23"/>
      <c r="I1050" s="23"/>
      <c r="J1050" s="23"/>
      <c r="K1050" s="23"/>
      <c r="L1050" s="25"/>
    </row>
    <row r="1051" spans="1:12" x14ac:dyDescent="0.25">
      <c r="A1051" s="24"/>
      <c r="B1051" s="23"/>
      <c r="C1051" s="23"/>
      <c r="D1051" s="23"/>
      <c r="E1051" s="23"/>
      <c r="F1051" s="23"/>
      <c r="G1051" s="23"/>
      <c r="H1051" s="23"/>
      <c r="I1051" s="23"/>
      <c r="J1051" s="23"/>
      <c r="K1051" s="23"/>
      <c r="L1051" s="25"/>
    </row>
    <row r="1052" spans="1:12" x14ac:dyDescent="0.25">
      <c r="A1052" s="24"/>
      <c r="B1052" s="23"/>
      <c r="C1052" s="23"/>
      <c r="D1052" s="23"/>
      <c r="E1052" s="23"/>
      <c r="F1052" s="23"/>
      <c r="G1052" s="23"/>
      <c r="H1052" s="23"/>
      <c r="I1052" s="23"/>
      <c r="J1052" s="23"/>
      <c r="K1052" s="23"/>
      <c r="L1052" s="25"/>
    </row>
    <row r="1053" spans="1:12" x14ac:dyDescent="0.25">
      <c r="A1053" s="24"/>
      <c r="B1053" s="23"/>
      <c r="C1053" s="23"/>
      <c r="D1053" s="23"/>
      <c r="E1053" s="23"/>
      <c r="F1053" s="23"/>
      <c r="G1053" s="23"/>
      <c r="H1053" s="23"/>
      <c r="I1053" s="23"/>
      <c r="J1053" s="23"/>
      <c r="K1053" s="23"/>
      <c r="L1053" s="25"/>
    </row>
    <row r="1054" spans="1:12" x14ac:dyDescent="0.25">
      <c r="A1054" s="24"/>
      <c r="B1054" s="23"/>
      <c r="C1054" s="23"/>
      <c r="D1054" s="23"/>
      <c r="E1054" s="23"/>
      <c r="F1054" s="23"/>
      <c r="G1054" s="23"/>
      <c r="H1054" s="23"/>
      <c r="I1054" s="23"/>
      <c r="J1054" s="23"/>
      <c r="K1054" s="23"/>
      <c r="L1054" s="25"/>
    </row>
    <row r="1055" spans="1:12" x14ac:dyDescent="0.25">
      <c r="A1055" s="24"/>
      <c r="B1055" s="23"/>
      <c r="C1055" s="23"/>
      <c r="D1055" s="23"/>
      <c r="E1055" s="23"/>
      <c r="F1055" s="23"/>
      <c r="G1055" s="23"/>
      <c r="H1055" s="23"/>
      <c r="I1055" s="23"/>
      <c r="J1055" s="23"/>
      <c r="K1055" s="23"/>
      <c r="L1055" s="25"/>
    </row>
    <row r="1056" spans="1:12" x14ac:dyDescent="0.25">
      <c r="A1056" s="24"/>
      <c r="B1056" s="23"/>
      <c r="C1056" s="23"/>
      <c r="D1056" s="23"/>
      <c r="E1056" s="23"/>
      <c r="F1056" s="23"/>
      <c r="G1056" s="23"/>
      <c r="H1056" s="23"/>
      <c r="I1056" s="23"/>
      <c r="J1056" s="23"/>
      <c r="K1056" s="23"/>
      <c r="L1056" s="25"/>
    </row>
    <row r="1057" spans="1:12" x14ac:dyDescent="0.25">
      <c r="A1057" s="24"/>
      <c r="B1057" s="23"/>
      <c r="C1057" s="23"/>
      <c r="D1057" s="23"/>
      <c r="E1057" s="23"/>
      <c r="F1057" s="23"/>
      <c r="G1057" s="23"/>
      <c r="H1057" s="23"/>
      <c r="I1057" s="23"/>
      <c r="J1057" s="23"/>
      <c r="K1057" s="23"/>
      <c r="L1057" s="25"/>
    </row>
    <row r="1058" spans="1:12" x14ac:dyDescent="0.25">
      <c r="A1058" s="24"/>
      <c r="B1058" s="23"/>
      <c r="C1058" s="23"/>
      <c r="D1058" s="23"/>
      <c r="E1058" s="23"/>
      <c r="F1058" s="23"/>
      <c r="G1058" s="23"/>
      <c r="H1058" s="23"/>
      <c r="I1058" s="23"/>
      <c r="J1058" s="23"/>
      <c r="K1058" s="23"/>
      <c r="L1058" s="25"/>
    </row>
    <row r="1059" spans="1:12" x14ac:dyDescent="0.25">
      <c r="A1059" s="24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5"/>
    </row>
    <row r="1060" spans="1:12" x14ac:dyDescent="0.25">
      <c r="A1060" s="24"/>
      <c r="B1060" s="23"/>
      <c r="C1060" s="23"/>
      <c r="D1060" s="23"/>
      <c r="E1060" s="23"/>
      <c r="F1060" s="23"/>
      <c r="G1060" s="23"/>
      <c r="H1060" s="23"/>
      <c r="I1060" s="23"/>
      <c r="J1060" s="23"/>
      <c r="K1060" s="23"/>
      <c r="L1060" s="25"/>
    </row>
    <row r="1061" spans="1:12" x14ac:dyDescent="0.25">
      <c r="A1061" s="24"/>
      <c r="B1061" s="23"/>
      <c r="C1061" s="23"/>
      <c r="D1061" s="23"/>
      <c r="E1061" s="23"/>
      <c r="F1061" s="23"/>
      <c r="G1061" s="23"/>
      <c r="H1061" s="23"/>
      <c r="I1061" s="23"/>
      <c r="J1061" s="23"/>
      <c r="K1061" s="23"/>
      <c r="L1061" s="25"/>
    </row>
    <row r="1062" spans="1:12" x14ac:dyDescent="0.25">
      <c r="A1062" s="24"/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5"/>
    </row>
    <row r="1063" spans="1:12" x14ac:dyDescent="0.25">
      <c r="A1063" s="24"/>
      <c r="B1063" s="23"/>
      <c r="C1063" s="23"/>
      <c r="D1063" s="23"/>
      <c r="E1063" s="23"/>
      <c r="F1063" s="23"/>
      <c r="G1063" s="23"/>
      <c r="H1063" s="23"/>
      <c r="I1063" s="23"/>
      <c r="J1063" s="23"/>
      <c r="K1063" s="23"/>
      <c r="L1063" s="25"/>
    </row>
    <row r="1064" spans="1:12" x14ac:dyDescent="0.25">
      <c r="A1064" s="24"/>
      <c r="B1064" s="23"/>
      <c r="C1064" s="23"/>
      <c r="D1064" s="23"/>
      <c r="E1064" s="23"/>
      <c r="F1064" s="23"/>
      <c r="G1064" s="23"/>
      <c r="H1064" s="23"/>
      <c r="I1064" s="23"/>
      <c r="J1064" s="23"/>
      <c r="K1064" s="23"/>
      <c r="L1064" s="25"/>
    </row>
    <row r="1065" spans="1:12" x14ac:dyDescent="0.25">
      <c r="A1065" s="24"/>
      <c r="B1065" s="23"/>
      <c r="C1065" s="23"/>
      <c r="D1065" s="23"/>
      <c r="E1065" s="23"/>
      <c r="F1065" s="23"/>
      <c r="G1065" s="23"/>
      <c r="H1065" s="23"/>
      <c r="I1065" s="23"/>
      <c r="J1065" s="23"/>
      <c r="K1065" s="23"/>
      <c r="L1065" s="25"/>
    </row>
    <row r="1066" spans="1:12" x14ac:dyDescent="0.25">
      <c r="A1066" s="24"/>
      <c r="B1066" s="23"/>
      <c r="C1066" s="23"/>
      <c r="D1066" s="23"/>
      <c r="E1066" s="23"/>
      <c r="F1066" s="23"/>
      <c r="G1066" s="23"/>
      <c r="H1066" s="23"/>
      <c r="I1066" s="23"/>
      <c r="J1066" s="23"/>
      <c r="K1066" s="23"/>
      <c r="L1066" s="25"/>
    </row>
    <row r="1067" spans="1:12" x14ac:dyDescent="0.25">
      <c r="A1067" s="24"/>
      <c r="B1067" s="23"/>
      <c r="C1067" s="23"/>
      <c r="D1067" s="23"/>
      <c r="E1067" s="23"/>
      <c r="F1067" s="23"/>
      <c r="G1067" s="23"/>
      <c r="H1067" s="23"/>
      <c r="I1067" s="23"/>
      <c r="J1067" s="23"/>
      <c r="K1067" s="23"/>
      <c r="L1067" s="25"/>
    </row>
    <row r="1068" spans="1:12" x14ac:dyDescent="0.25">
      <c r="A1068" s="24"/>
      <c r="B1068" s="23"/>
      <c r="C1068" s="23"/>
      <c r="D1068" s="23"/>
      <c r="E1068" s="23"/>
      <c r="F1068" s="23"/>
      <c r="G1068" s="23"/>
      <c r="H1068" s="23"/>
      <c r="I1068" s="23"/>
      <c r="J1068" s="23"/>
      <c r="K1068" s="23"/>
      <c r="L1068" s="25"/>
    </row>
    <row r="1069" spans="1:12" x14ac:dyDescent="0.25">
      <c r="A1069" s="24"/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5"/>
    </row>
    <row r="1070" spans="1:12" x14ac:dyDescent="0.25">
      <c r="A1070" s="24"/>
      <c r="B1070" s="23"/>
      <c r="C1070" s="23"/>
      <c r="D1070" s="23"/>
      <c r="E1070" s="23"/>
      <c r="F1070" s="23"/>
      <c r="G1070" s="23"/>
      <c r="H1070" s="23"/>
      <c r="I1070" s="23"/>
      <c r="J1070" s="23"/>
      <c r="K1070" s="23"/>
      <c r="L1070" s="25"/>
    </row>
    <row r="1071" spans="1:12" x14ac:dyDescent="0.25">
      <c r="A1071" s="24"/>
      <c r="B1071" s="23"/>
      <c r="C1071" s="23"/>
      <c r="D1071" s="23"/>
      <c r="E1071" s="23"/>
      <c r="F1071" s="23"/>
      <c r="G1071" s="23"/>
      <c r="H1071" s="23"/>
      <c r="I1071" s="23"/>
      <c r="J1071" s="23"/>
      <c r="K1071" s="23"/>
      <c r="L1071" s="25"/>
    </row>
    <row r="1072" spans="1:12" x14ac:dyDescent="0.25">
      <c r="A1072" s="24"/>
      <c r="B1072" s="23"/>
      <c r="C1072" s="23"/>
      <c r="D1072" s="23"/>
      <c r="E1072" s="23"/>
      <c r="F1072" s="23"/>
      <c r="G1072" s="23"/>
      <c r="H1072" s="23"/>
      <c r="I1072" s="23"/>
      <c r="J1072" s="23"/>
      <c r="K1072" s="23"/>
      <c r="L1072" s="25"/>
    </row>
    <row r="1073" spans="1:12" x14ac:dyDescent="0.25">
      <c r="A1073" s="24"/>
      <c r="B1073" s="23"/>
      <c r="C1073" s="23"/>
      <c r="D1073" s="23"/>
      <c r="E1073" s="23"/>
      <c r="F1073" s="23"/>
      <c r="G1073" s="23"/>
      <c r="H1073" s="23"/>
      <c r="I1073" s="23"/>
      <c r="J1073" s="23"/>
      <c r="K1073" s="23"/>
      <c r="L1073" s="25"/>
    </row>
    <row r="1074" spans="1:12" x14ac:dyDescent="0.25">
      <c r="A1074" s="24"/>
      <c r="B1074" s="23"/>
      <c r="C1074" s="23"/>
      <c r="D1074" s="23"/>
      <c r="E1074" s="23"/>
      <c r="F1074" s="23"/>
      <c r="G1074" s="23"/>
      <c r="H1074" s="23"/>
      <c r="I1074" s="23"/>
      <c r="J1074" s="23"/>
      <c r="K1074" s="23"/>
      <c r="L1074" s="25"/>
    </row>
    <row r="1075" spans="1:12" x14ac:dyDescent="0.25">
      <c r="A1075" s="26"/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8"/>
    </row>
  </sheetData>
  <mergeCells count="9">
    <mergeCell ref="A5:C5"/>
    <mergeCell ref="A6:C6"/>
    <mergeCell ref="A9:E9"/>
    <mergeCell ref="A22:E22"/>
    <mergeCell ref="F1:L1"/>
    <mergeCell ref="A1:C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CLV+ARPU</vt:lpstr>
      <vt:lpstr>Churn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2015-06-05T18:19:34Z</dcterms:created>
  <dcterms:modified xsi:type="dcterms:W3CDTF">2026-03-15T15:02:47Z</dcterms:modified>
</cp:coreProperties>
</file>